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4"/>
  <workbookPr/>
  <mc:AlternateContent xmlns:mc="http://schemas.openxmlformats.org/markup-compatibility/2006">
    <mc:Choice Requires="x15">
      <x15ac:absPath xmlns:x15ac="http://schemas.microsoft.com/office/spreadsheetml/2010/11/ac" url="/Users/priyavratchaudhary/FPL-data/"/>
    </mc:Choice>
  </mc:AlternateContent>
  <xr:revisionPtr revIDLastSave="0" documentId="13_ncr:1_{A3FD0BA5-ABFB-FD4C-8008-C8CA1D716385}" xr6:coauthVersionLast="47" xr6:coauthVersionMax="47" xr10:uidLastSave="{00000000-0000-0000-0000-000000000000}"/>
  <bookViews>
    <workbookView xWindow="0" yWindow="500" windowWidth="28800" windowHeight="1750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Sheet1!$CK$5:$CT$64</definedName>
    <definedName name="_xlnm._FilterDatabase" localSheetId="1" hidden="1">Sheet2!$A$3:$BN$17</definedName>
    <definedName name="Color">GET.CELL(38,Sheet1!$A1048575)</definedName>
    <definedName name="Gameweek_10">GET.CELL(38,Sheet1!$AS1)</definedName>
    <definedName name="Gameweek_11">GET.CELL(38,Sheet1!$BD1)</definedName>
    <definedName name="Gameweek_12">GET.CELL(38,Sheet1!$BO1)</definedName>
    <definedName name="Gameweek_13">GET.CELL(38,Sheet1!$BZ1)</definedName>
    <definedName name="Gameweek_14">GET.CELL(38,Sheet1!$CK1)</definedName>
    <definedName name="Gameweek_8">GET.CELL(38,Sheet1!$W1)</definedName>
    <definedName name="Gameweek_9">GET.CELL(38,Sheet1!$AH1)</definedName>
    <definedName name="Get_Color">GET.CELL(38,Sheet1!$L1)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O84" i="1" l="1"/>
  <c r="CO85" i="1"/>
  <c r="CO86" i="1"/>
  <c r="CO87" i="1"/>
  <c r="CO88" i="1"/>
  <c r="CO89" i="1"/>
  <c r="CO90" i="1"/>
  <c r="CO91" i="1"/>
  <c r="CO92" i="1"/>
  <c r="CN85" i="1"/>
  <c r="CK81" i="1"/>
  <c r="CK80" i="1"/>
  <c r="CK79" i="1"/>
  <c r="CK77" i="1"/>
  <c r="CK78" i="1"/>
  <c r="CK76" i="1"/>
  <c r="CK75" i="1"/>
  <c r="CN91" i="1" s="1"/>
  <c r="CK74" i="1"/>
  <c r="CK73" i="1"/>
  <c r="CQ69" i="1"/>
  <c r="CQ67" i="1"/>
  <c r="CQ66" i="1"/>
  <c r="CQ68" i="1" s="1"/>
  <c r="CN7" i="1"/>
  <c r="CP7" i="1" s="1"/>
  <c r="CN8" i="1"/>
  <c r="CP8" i="1" s="1"/>
  <c r="CN9" i="1"/>
  <c r="CP9" i="1" s="1"/>
  <c r="CN10" i="1"/>
  <c r="CP10" i="1" s="1"/>
  <c r="CN11" i="1"/>
  <c r="CP11" i="1" s="1"/>
  <c r="CN12" i="1"/>
  <c r="CP12" i="1" s="1"/>
  <c r="CN13" i="1"/>
  <c r="CP13" i="1" s="1"/>
  <c r="CN14" i="1"/>
  <c r="CP14" i="1" s="1"/>
  <c r="CN15" i="1"/>
  <c r="CN16" i="1"/>
  <c r="CN17" i="1"/>
  <c r="CP17" i="1" s="1"/>
  <c r="CN18" i="1"/>
  <c r="CP18" i="1" s="1"/>
  <c r="CN19" i="1"/>
  <c r="CP19" i="1" s="1"/>
  <c r="CN20" i="1"/>
  <c r="CP20" i="1" s="1"/>
  <c r="CN21" i="1"/>
  <c r="CP21" i="1" s="1"/>
  <c r="CN22" i="1"/>
  <c r="CP22" i="1" s="1"/>
  <c r="CN23" i="1"/>
  <c r="CN24" i="1"/>
  <c r="CN25" i="1"/>
  <c r="CP25" i="1" s="1"/>
  <c r="CN26" i="1"/>
  <c r="CP26" i="1" s="1"/>
  <c r="CN27" i="1"/>
  <c r="CP27" i="1" s="1"/>
  <c r="CN28" i="1"/>
  <c r="CP28" i="1" s="1"/>
  <c r="CN29" i="1"/>
  <c r="CP29" i="1" s="1"/>
  <c r="CN30" i="1"/>
  <c r="CP30" i="1" s="1"/>
  <c r="CN31" i="1"/>
  <c r="CN32" i="1"/>
  <c r="CP32" i="1" s="1"/>
  <c r="CN33" i="1"/>
  <c r="CP33" i="1" s="1"/>
  <c r="CN34" i="1"/>
  <c r="CP34" i="1" s="1"/>
  <c r="CN35" i="1"/>
  <c r="CP35" i="1" s="1"/>
  <c r="CN36" i="1"/>
  <c r="CP36" i="1" s="1"/>
  <c r="CN37" i="1"/>
  <c r="CP37" i="1" s="1"/>
  <c r="CN38" i="1"/>
  <c r="CP38" i="1" s="1"/>
  <c r="CN39" i="1"/>
  <c r="CN40" i="1"/>
  <c r="CP40" i="1" s="1"/>
  <c r="CN41" i="1"/>
  <c r="CP41" i="1" s="1"/>
  <c r="CN42" i="1"/>
  <c r="CP42" i="1" s="1"/>
  <c r="CN43" i="1"/>
  <c r="CP43" i="1" s="1"/>
  <c r="CN44" i="1"/>
  <c r="CP44" i="1" s="1"/>
  <c r="CN45" i="1"/>
  <c r="CP45" i="1" s="1"/>
  <c r="CN46" i="1"/>
  <c r="CP46" i="1" s="1"/>
  <c r="CN47" i="1"/>
  <c r="CP47" i="1" s="1"/>
  <c r="CN48" i="1"/>
  <c r="CN49" i="1"/>
  <c r="CP49" i="1" s="1"/>
  <c r="CN50" i="1"/>
  <c r="CP50" i="1" s="1"/>
  <c r="CN51" i="1"/>
  <c r="CP51" i="1" s="1"/>
  <c r="CN52" i="1"/>
  <c r="CP52" i="1" s="1"/>
  <c r="CN53" i="1"/>
  <c r="CP53" i="1" s="1"/>
  <c r="CN54" i="1"/>
  <c r="CP54" i="1" s="1"/>
  <c r="CN55" i="1"/>
  <c r="CN56" i="1"/>
  <c r="CP56" i="1" s="1"/>
  <c r="CN57" i="1"/>
  <c r="CP57" i="1" s="1"/>
  <c r="CN58" i="1"/>
  <c r="CP58" i="1" s="1"/>
  <c r="CN59" i="1"/>
  <c r="CP59" i="1" s="1"/>
  <c r="CN60" i="1"/>
  <c r="CP60" i="1" s="1"/>
  <c r="CN61" i="1"/>
  <c r="CP61" i="1" s="1"/>
  <c r="CN62" i="1"/>
  <c r="CP62" i="1" s="1"/>
  <c r="CN63" i="1"/>
  <c r="CN64" i="1"/>
  <c r="CN6" i="1"/>
  <c r="CP6" i="1" s="1"/>
  <c r="CP64" i="1"/>
  <c r="CP63" i="1"/>
  <c r="CP55" i="1"/>
  <c r="CP48" i="1"/>
  <c r="CP39" i="1"/>
  <c r="CP31" i="1"/>
  <c r="CP24" i="1"/>
  <c r="CP23" i="1"/>
  <c r="CP16" i="1"/>
  <c r="CP15" i="1"/>
  <c r="CD92" i="1"/>
  <c r="CD91" i="1"/>
  <c r="CD90" i="1"/>
  <c r="CD88" i="1"/>
  <c r="CD87" i="1"/>
  <c r="CD86" i="1"/>
  <c r="CD85" i="1"/>
  <c r="CD84" i="1"/>
  <c r="BZ81" i="1"/>
  <c r="BZ80" i="1"/>
  <c r="BZ79" i="1"/>
  <c r="BZ78" i="1"/>
  <c r="BZ77" i="1"/>
  <c r="BZ76" i="1"/>
  <c r="BZ75" i="1"/>
  <c r="BZ74" i="1"/>
  <c r="CC85" i="1" s="1"/>
  <c r="BZ73" i="1"/>
  <c r="CC11" i="1"/>
  <c r="CC15" i="1"/>
  <c r="CC16" i="1"/>
  <c r="CC14" i="1"/>
  <c r="CC13" i="1"/>
  <c r="CC8" i="1"/>
  <c r="CC9" i="1"/>
  <c r="CC7" i="1"/>
  <c r="CC10" i="1"/>
  <c r="CC12" i="1"/>
  <c r="CC62" i="1"/>
  <c r="CC24" i="1"/>
  <c r="CC31" i="1"/>
  <c r="CC43" i="1"/>
  <c r="CC46" i="1"/>
  <c r="CC64" i="1"/>
  <c r="CC47" i="1"/>
  <c r="CC38" i="1"/>
  <c r="CC39" i="1"/>
  <c r="CC40" i="1"/>
  <c r="CC41" i="1"/>
  <c r="CC49" i="1"/>
  <c r="CC48" i="1"/>
  <c r="CC51" i="1"/>
  <c r="CC52" i="1"/>
  <c r="CC53" i="1"/>
  <c r="CC54" i="1"/>
  <c r="CC59" i="1"/>
  <c r="CC25" i="1"/>
  <c r="CC26" i="1"/>
  <c r="CC60" i="1"/>
  <c r="CC61" i="1"/>
  <c r="CC35" i="1"/>
  <c r="CC42" i="1"/>
  <c r="CC20" i="1"/>
  <c r="CC21" i="1"/>
  <c r="CC22" i="1"/>
  <c r="CC36" i="1"/>
  <c r="CC37" i="1"/>
  <c r="CC27" i="1"/>
  <c r="CC55" i="1"/>
  <c r="CC28" i="1"/>
  <c r="CC56" i="1"/>
  <c r="CC34" i="1"/>
  <c r="CC18" i="1"/>
  <c r="CC29" i="1"/>
  <c r="CC50" i="1"/>
  <c r="CC57" i="1"/>
  <c r="CC30" i="1"/>
  <c r="CC58" i="1"/>
  <c r="CE58" i="1" s="1"/>
  <c r="CC32" i="1"/>
  <c r="CC33" i="1"/>
  <c r="CC44" i="1"/>
  <c r="CC63" i="1"/>
  <c r="CC17" i="1"/>
  <c r="CC23" i="1"/>
  <c r="CC45" i="1"/>
  <c r="CC19" i="1"/>
  <c r="CH58" i="1"/>
  <c r="CS7" i="1"/>
  <c r="CS15" i="1"/>
  <c r="CS23" i="1"/>
  <c r="CS31" i="1"/>
  <c r="CS39" i="1"/>
  <c r="CS47" i="1"/>
  <c r="CS55" i="1"/>
  <c r="CS63" i="1"/>
  <c r="CS26" i="1"/>
  <c r="CS50" i="1"/>
  <c r="CS27" i="1"/>
  <c r="CS59" i="1"/>
  <c r="CS28" i="1"/>
  <c r="CS52" i="1"/>
  <c r="CS8" i="1"/>
  <c r="CS16" i="1"/>
  <c r="CS24" i="1"/>
  <c r="CS32" i="1"/>
  <c r="CS40" i="1"/>
  <c r="CS48" i="1"/>
  <c r="CS56" i="1"/>
  <c r="CS64" i="1"/>
  <c r="CS10" i="1"/>
  <c r="CS42" i="1"/>
  <c r="CS19" i="1"/>
  <c r="CS51" i="1"/>
  <c r="CS36" i="1"/>
  <c r="CS9" i="1"/>
  <c r="CS17" i="1"/>
  <c r="CS25" i="1"/>
  <c r="CS33" i="1"/>
  <c r="CS41" i="1"/>
  <c r="CS49" i="1"/>
  <c r="CS57" i="1"/>
  <c r="CS18" i="1"/>
  <c r="CS34" i="1"/>
  <c r="CS58" i="1"/>
  <c r="CS11" i="1"/>
  <c r="CS43" i="1"/>
  <c r="CS20" i="1"/>
  <c r="CS60" i="1"/>
  <c r="CS13" i="1"/>
  <c r="CS21" i="1"/>
  <c r="CS29" i="1"/>
  <c r="CS37" i="1"/>
  <c r="CS45" i="1"/>
  <c r="CS53" i="1"/>
  <c r="CS61" i="1"/>
  <c r="CS14" i="1"/>
  <c r="CS22" i="1"/>
  <c r="CS30" i="1"/>
  <c r="CS38" i="1"/>
  <c r="CS46" i="1"/>
  <c r="CS54" i="1"/>
  <c r="CS62" i="1"/>
  <c r="CS35" i="1"/>
  <c r="CS12" i="1"/>
  <c r="CS44" i="1"/>
  <c r="CS6" i="1"/>
  <c r="CN88" i="1" l="1"/>
  <c r="CN89" i="1"/>
  <c r="CN90" i="1"/>
  <c r="CN87" i="1"/>
  <c r="CN86" i="1"/>
  <c r="CN92" i="1"/>
  <c r="CN84" i="1"/>
  <c r="CQ44" i="1"/>
  <c r="CQ12" i="1"/>
  <c r="CT12" i="1" s="1"/>
  <c r="CQ35" i="1"/>
  <c r="CT35" i="1" s="1"/>
  <c r="CQ62" i="1"/>
  <c r="CT62" i="1" s="1"/>
  <c r="CQ54" i="1"/>
  <c r="CT54" i="1" s="1"/>
  <c r="CQ46" i="1"/>
  <c r="CT46" i="1" s="1"/>
  <c r="CQ38" i="1"/>
  <c r="CT38" i="1" s="1"/>
  <c r="CQ30" i="1"/>
  <c r="CT30" i="1" s="1"/>
  <c r="CQ22" i="1"/>
  <c r="CQ14" i="1"/>
  <c r="CQ61" i="1"/>
  <c r="CT61" i="1" s="1"/>
  <c r="CQ53" i="1"/>
  <c r="CT53" i="1" s="1"/>
  <c r="CQ45" i="1"/>
  <c r="CT45" i="1" s="1"/>
  <c r="CQ37" i="1"/>
  <c r="CT37" i="1" s="1"/>
  <c r="CQ29" i="1"/>
  <c r="CT29" i="1" s="1"/>
  <c r="CQ21" i="1"/>
  <c r="CT21" i="1" s="1"/>
  <c r="CQ13" i="1"/>
  <c r="CQ60" i="1"/>
  <c r="CQ20" i="1"/>
  <c r="CT20" i="1" s="1"/>
  <c r="CQ43" i="1"/>
  <c r="CT43" i="1" s="1"/>
  <c r="CQ11" i="1"/>
  <c r="CT11" i="1" s="1"/>
  <c r="CQ58" i="1"/>
  <c r="CT58" i="1" s="1"/>
  <c r="CQ34" i="1"/>
  <c r="CT34" i="1" s="1"/>
  <c r="CQ18" i="1"/>
  <c r="CT18" i="1" s="1"/>
  <c r="CQ57" i="1"/>
  <c r="CQ49" i="1"/>
  <c r="CT49" i="1" s="1"/>
  <c r="CQ41" i="1"/>
  <c r="CQ33" i="1"/>
  <c r="CQ25" i="1"/>
  <c r="CT25" i="1" s="1"/>
  <c r="CQ17" i="1"/>
  <c r="CQ9" i="1"/>
  <c r="CT9" i="1" s="1"/>
  <c r="CQ36" i="1"/>
  <c r="CT36" i="1" s="1"/>
  <c r="CQ51" i="1"/>
  <c r="CQ19" i="1"/>
  <c r="CQ42" i="1"/>
  <c r="CT42" i="1" s="1"/>
  <c r="CQ10" i="1"/>
  <c r="CT10" i="1" s="1"/>
  <c r="CQ64" i="1"/>
  <c r="CT64" i="1" s="1"/>
  <c r="CQ56" i="1"/>
  <c r="CQ48" i="1"/>
  <c r="CT48" i="1" s="1"/>
  <c r="CQ40" i="1"/>
  <c r="CT40" i="1" s="1"/>
  <c r="CQ32" i="1"/>
  <c r="CQ24" i="1"/>
  <c r="CQ16" i="1"/>
  <c r="CQ8" i="1"/>
  <c r="CT8" i="1" s="1"/>
  <c r="CQ52" i="1"/>
  <c r="CT52" i="1" s="1"/>
  <c r="CQ28" i="1"/>
  <c r="CT28" i="1" s="1"/>
  <c r="CQ59" i="1"/>
  <c r="CT59" i="1" s="1"/>
  <c r="CQ27" i="1"/>
  <c r="CT27" i="1" s="1"/>
  <c r="CQ50" i="1"/>
  <c r="CQ26" i="1"/>
  <c r="CQ63" i="1"/>
  <c r="CT63" i="1" s="1"/>
  <c r="CQ55" i="1"/>
  <c r="CT55" i="1" s="1"/>
  <c r="CQ47" i="1"/>
  <c r="CT47" i="1" s="1"/>
  <c r="CQ39" i="1"/>
  <c r="CT39" i="1" s="1"/>
  <c r="CQ31" i="1"/>
  <c r="CT31" i="1" s="1"/>
  <c r="CQ23" i="1"/>
  <c r="CT23" i="1" s="1"/>
  <c r="CQ15" i="1"/>
  <c r="CQ7" i="1"/>
  <c r="CT26" i="1"/>
  <c r="CT57" i="1"/>
  <c r="CT41" i="1"/>
  <c r="CT33" i="1"/>
  <c r="CT17" i="1"/>
  <c r="CT56" i="1"/>
  <c r="CT32" i="1"/>
  <c r="CT7" i="1"/>
  <c r="CT24" i="1"/>
  <c r="CT16" i="1"/>
  <c r="CT14" i="1"/>
  <c r="CT50" i="1"/>
  <c r="CT15" i="1"/>
  <c r="CT13" i="1"/>
  <c r="CT60" i="1"/>
  <c r="CT44" i="1"/>
  <c r="CT51" i="1"/>
  <c r="CT19" i="1"/>
  <c r="CT22" i="1"/>
  <c r="CQ6" i="1"/>
  <c r="CT6" i="1" s="1"/>
  <c r="CC91" i="1"/>
  <c r="CC88" i="1"/>
  <c r="CC89" i="1"/>
  <c r="CC87" i="1"/>
  <c r="CC90" i="1"/>
  <c r="CC86" i="1"/>
  <c r="CC92" i="1"/>
  <c r="CC84" i="1"/>
  <c r="CF58" i="1"/>
  <c r="CI58" i="1" s="1"/>
  <c r="CE32" i="1"/>
  <c r="CH32" i="1"/>
  <c r="CT67" i="1" l="1"/>
  <c r="CF32" i="1"/>
  <c r="CI32" i="1" s="1"/>
  <c r="CE33" i="1"/>
  <c r="CH33" i="1"/>
  <c r="CF33" i="1" l="1"/>
  <c r="CI33" i="1" s="1"/>
  <c r="CC6" i="1" l="1"/>
  <c r="CE11" i="1"/>
  <c r="CE15" i="1"/>
  <c r="CE16" i="1"/>
  <c r="CE14" i="1"/>
  <c r="CE13" i="1"/>
  <c r="CE8" i="1"/>
  <c r="CE9" i="1"/>
  <c r="CE7" i="1"/>
  <c r="CE10" i="1"/>
  <c r="CE12" i="1"/>
  <c r="CE62" i="1"/>
  <c r="CE24" i="1"/>
  <c r="CE31" i="1"/>
  <c r="CE43" i="1"/>
  <c r="CE46" i="1"/>
  <c r="CE64" i="1"/>
  <c r="CE47" i="1"/>
  <c r="CE38" i="1"/>
  <c r="CE39" i="1"/>
  <c r="CE40" i="1"/>
  <c r="CE41" i="1"/>
  <c r="CE49" i="1"/>
  <c r="CE48" i="1"/>
  <c r="CE51" i="1"/>
  <c r="CE52" i="1"/>
  <c r="CE53" i="1"/>
  <c r="CE54" i="1"/>
  <c r="CE59" i="1"/>
  <c r="CE25" i="1"/>
  <c r="CE26" i="1"/>
  <c r="CE60" i="1"/>
  <c r="CE61" i="1"/>
  <c r="CE35" i="1"/>
  <c r="CE42" i="1"/>
  <c r="CE20" i="1"/>
  <c r="CE21" i="1"/>
  <c r="CE22" i="1"/>
  <c r="CE36" i="1"/>
  <c r="CE37" i="1"/>
  <c r="CE27" i="1"/>
  <c r="CE55" i="1"/>
  <c r="CE28" i="1"/>
  <c r="CE56" i="1"/>
  <c r="CE34" i="1"/>
  <c r="CE18" i="1"/>
  <c r="CE29" i="1"/>
  <c r="CE50" i="1"/>
  <c r="CE57" i="1"/>
  <c r="CE30" i="1"/>
  <c r="CE44" i="1"/>
  <c r="CE63" i="1"/>
  <c r="CE17" i="1"/>
  <c r="CE23" i="1"/>
  <c r="CE45" i="1"/>
  <c r="CE19" i="1"/>
  <c r="CE6" i="1"/>
  <c r="BR81" i="1"/>
  <c r="BR80" i="1"/>
  <c r="BR79" i="1"/>
  <c r="BR78" i="1"/>
  <c r="BR77" i="1"/>
  <c r="BR76" i="1"/>
  <c r="BR75" i="1"/>
  <c r="BR74" i="1"/>
  <c r="BR73" i="1"/>
  <c r="BS84" i="1"/>
  <c r="BS91" i="1"/>
  <c r="BS92" i="1"/>
  <c r="BS90" i="1"/>
  <c r="BS85" i="1"/>
  <c r="BS86" i="1"/>
  <c r="BS87" i="1"/>
  <c r="BS88" i="1"/>
  <c r="BO81" i="1"/>
  <c r="BO80" i="1"/>
  <c r="BO77" i="1"/>
  <c r="BO78" i="1"/>
  <c r="BO79" i="1"/>
  <c r="BO75" i="1"/>
  <c r="BO76" i="1"/>
  <c r="BO74" i="1"/>
  <c r="BO73" i="1"/>
  <c r="BR65" i="1"/>
  <c r="BT65" i="1" s="1"/>
  <c r="BR64" i="1"/>
  <c r="BT64" i="1" s="1"/>
  <c r="BR63" i="1"/>
  <c r="BT63" i="1" s="1"/>
  <c r="BR7" i="1"/>
  <c r="BT7" i="1" s="1"/>
  <c r="BR8" i="1"/>
  <c r="BT8" i="1" s="1"/>
  <c r="BR9" i="1"/>
  <c r="BT9" i="1" s="1"/>
  <c r="BR10" i="1"/>
  <c r="BT10" i="1" s="1"/>
  <c r="BR11" i="1"/>
  <c r="BT11" i="1" s="1"/>
  <c r="BR12" i="1"/>
  <c r="BT12" i="1" s="1"/>
  <c r="BR13" i="1"/>
  <c r="BT13" i="1" s="1"/>
  <c r="BR14" i="1"/>
  <c r="BT14" i="1" s="1"/>
  <c r="BR15" i="1"/>
  <c r="BT15" i="1" s="1"/>
  <c r="BR16" i="1"/>
  <c r="BT16" i="1" s="1"/>
  <c r="BR17" i="1"/>
  <c r="BT17" i="1" s="1"/>
  <c r="BR18" i="1"/>
  <c r="BT18" i="1" s="1"/>
  <c r="BR19" i="1"/>
  <c r="BT19" i="1" s="1"/>
  <c r="BR20" i="1"/>
  <c r="BT20" i="1" s="1"/>
  <c r="BR21" i="1"/>
  <c r="BT21" i="1" s="1"/>
  <c r="BR22" i="1"/>
  <c r="BT22" i="1" s="1"/>
  <c r="BR23" i="1"/>
  <c r="BT23" i="1" s="1"/>
  <c r="BR24" i="1"/>
  <c r="BT24" i="1" s="1"/>
  <c r="BR25" i="1"/>
  <c r="BT25" i="1" s="1"/>
  <c r="BR26" i="1"/>
  <c r="BT26" i="1" s="1"/>
  <c r="BR27" i="1"/>
  <c r="BT27" i="1" s="1"/>
  <c r="BR28" i="1"/>
  <c r="BT28" i="1" s="1"/>
  <c r="BR29" i="1"/>
  <c r="BT29" i="1" s="1"/>
  <c r="BR30" i="1"/>
  <c r="BT30" i="1" s="1"/>
  <c r="BR31" i="1"/>
  <c r="BT31" i="1" s="1"/>
  <c r="BR32" i="1"/>
  <c r="BT32" i="1" s="1"/>
  <c r="BR33" i="1"/>
  <c r="BT33" i="1" s="1"/>
  <c r="BR34" i="1"/>
  <c r="BT34" i="1" s="1"/>
  <c r="BR35" i="1"/>
  <c r="BT35" i="1" s="1"/>
  <c r="BR36" i="1"/>
  <c r="BT36" i="1" s="1"/>
  <c r="BR37" i="1"/>
  <c r="BT37" i="1" s="1"/>
  <c r="BR38" i="1"/>
  <c r="BT38" i="1" s="1"/>
  <c r="BR39" i="1"/>
  <c r="BT39" i="1" s="1"/>
  <c r="BR40" i="1"/>
  <c r="BT40" i="1" s="1"/>
  <c r="BR41" i="1"/>
  <c r="BT41" i="1" s="1"/>
  <c r="BR42" i="1"/>
  <c r="BT42" i="1" s="1"/>
  <c r="BR43" i="1"/>
  <c r="BT43" i="1" s="1"/>
  <c r="BR44" i="1"/>
  <c r="BT44" i="1" s="1"/>
  <c r="BR45" i="1"/>
  <c r="BT45" i="1" s="1"/>
  <c r="BR46" i="1"/>
  <c r="BT46" i="1" s="1"/>
  <c r="BR47" i="1"/>
  <c r="BT47" i="1" s="1"/>
  <c r="BR48" i="1"/>
  <c r="BT48" i="1" s="1"/>
  <c r="BR49" i="1"/>
  <c r="BT49" i="1" s="1"/>
  <c r="BR50" i="1"/>
  <c r="BT50" i="1" s="1"/>
  <c r="BR51" i="1"/>
  <c r="BT51" i="1" s="1"/>
  <c r="BR52" i="1"/>
  <c r="BT52" i="1" s="1"/>
  <c r="BR53" i="1"/>
  <c r="BT53" i="1" s="1"/>
  <c r="BR54" i="1"/>
  <c r="BT54" i="1" s="1"/>
  <c r="BR55" i="1"/>
  <c r="BT55" i="1" s="1"/>
  <c r="BR56" i="1"/>
  <c r="BT56" i="1" s="1"/>
  <c r="BR57" i="1"/>
  <c r="BT57" i="1" s="1"/>
  <c r="BR58" i="1"/>
  <c r="BT58" i="1" s="1"/>
  <c r="BR59" i="1"/>
  <c r="BT59" i="1" s="1"/>
  <c r="BR60" i="1"/>
  <c r="BT60" i="1" s="1"/>
  <c r="BR61" i="1"/>
  <c r="BT61" i="1" s="1"/>
  <c r="BR62" i="1"/>
  <c r="BT62" i="1" s="1"/>
  <c r="BR6" i="1"/>
  <c r="BT6" i="1" s="1"/>
  <c r="BH90" i="1"/>
  <c r="BH91" i="1"/>
  <c r="BH89" i="1"/>
  <c r="BH88" i="1"/>
  <c r="BH87" i="1"/>
  <c r="BH85" i="1"/>
  <c r="BH86" i="1"/>
  <c r="BH84" i="1"/>
  <c r="BW65" i="1"/>
  <c r="BW22" i="1"/>
  <c r="CH61" i="1"/>
  <c r="CH30" i="1"/>
  <c r="BW53" i="1"/>
  <c r="CH14" i="1"/>
  <c r="BW17" i="1"/>
  <c r="BW49" i="1"/>
  <c r="CH63" i="1"/>
  <c r="CH19" i="1"/>
  <c r="BW54" i="1"/>
  <c r="BW37" i="1"/>
  <c r="CH25" i="1"/>
  <c r="CH27" i="1"/>
  <c r="BW23" i="1"/>
  <c r="BW26" i="1"/>
  <c r="CH39" i="1"/>
  <c r="CH10" i="1"/>
  <c r="BW46" i="1"/>
  <c r="BW11" i="1"/>
  <c r="CH15" i="1"/>
  <c r="CH20" i="1"/>
  <c r="BW41" i="1"/>
  <c r="BW63" i="1"/>
  <c r="BW24" i="1"/>
  <c r="BW38" i="1"/>
  <c r="CH22" i="1"/>
  <c r="CH52" i="1"/>
  <c r="CH18" i="1"/>
  <c r="CH62" i="1"/>
  <c r="CH8" i="1"/>
  <c r="BW60" i="1"/>
  <c r="BW56" i="1"/>
  <c r="CH31" i="1"/>
  <c r="CH51" i="1"/>
  <c r="BW33" i="1"/>
  <c r="BW31" i="1"/>
  <c r="CH57" i="1"/>
  <c r="CH41" i="1"/>
  <c r="BW42" i="1"/>
  <c r="BW10" i="1"/>
  <c r="CH48" i="1"/>
  <c r="BW18" i="1"/>
  <c r="CH21" i="1"/>
  <c r="BW50" i="1"/>
  <c r="BW52" i="1"/>
  <c r="BW6" i="1"/>
  <c r="BW57" i="1"/>
  <c r="BW25" i="1"/>
  <c r="BW58" i="1"/>
  <c r="BW12" i="1"/>
  <c r="CH47" i="1"/>
  <c r="BW61" i="1"/>
  <c r="CH55" i="1"/>
  <c r="CH34" i="1"/>
  <c r="BW13" i="1"/>
  <c r="CH23" i="1"/>
  <c r="CH36" i="1"/>
  <c r="BW34" i="1"/>
  <c r="CH45" i="1"/>
  <c r="CH56" i="1"/>
  <c r="BW8" i="1"/>
  <c r="BW45" i="1"/>
  <c r="CH40" i="1"/>
  <c r="CH26" i="1"/>
  <c r="BW32" i="1"/>
  <c r="BW7" i="1"/>
  <c r="BW59" i="1"/>
  <c r="BW19" i="1"/>
  <c r="BW35" i="1"/>
  <c r="BW14" i="1"/>
  <c r="BW48" i="1"/>
  <c r="CH60" i="1"/>
  <c r="CH13" i="1"/>
  <c r="CH16" i="1"/>
  <c r="CH42" i="1"/>
  <c r="CH54" i="1"/>
  <c r="CH28" i="1"/>
  <c r="CH53" i="1"/>
  <c r="BW36" i="1"/>
  <c r="BW43" i="1"/>
  <c r="BW29" i="1"/>
  <c r="BW16" i="1"/>
  <c r="BW9" i="1"/>
  <c r="BW30" i="1"/>
  <c r="BW28" i="1"/>
  <c r="CH64" i="1"/>
  <c r="CH49" i="1"/>
  <c r="CH6" i="1"/>
  <c r="CH9" i="1"/>
  <c r="CH17" i="1"/>
  <c r="CH44" i="1"/>
  <c r="BW21" i="1"/>
  <c r="BW15" i="1"/>
  <c r="BW64" i="1"/>
  <c r="BW62" i="1"/>
  <c r="CH7" i="1"/>
  <c r="CH46" i="1"/>
  <c r="CH38" i="1"/>
  <c r="CH12" i="1"/>
  <c r="CH59" i="1"/>
  <c r="CH37" i="1"/>
  <c r="BW44" i="1"/>
  <c r="BW51" i="1"/>
  <c r="CH11" i="1"/>
  <c r="BW20" i="1"/>
  <c r="BW39" i="1"/>
  <c r="CH43" i="1"/>
  <c r="BW27" i="1"/>
  <c r="BW47" i="1"/>
  <c r="CH24" i="1"/>
  <c r="CH50" i="1"/>
  <c r="BW55" i="1"/>
  <c r="BW40" i="1"/>
  <c r="CH29" i="1"/>
  <c r="CH35" i="1"/>
  <c r="CF66" i="1" l="1"/>
  <c r="CF69" i="1"/>
  <c r="CF67" i="1"/>
  <c r="BR85" i="1"/>
  <c r="CF40" i="1"/>
  <c r="CI40" i="1" s="1"/>
  <c r="CF53" i="1"/>
  <c r="CI53" i="1" s="1"/>
  <c r="CF17" i="1"/>
  <c r="CI17" i="1" s="1"/>
  <c r="CF21" i="1"/>
  <c r="CI21" i="1" s="1"/>
  <c r="CF19" i="1"/>
  <c r="CI19" i="1" s="1"/>
  <c r="CF10" i="1"/>
  <c r="CI10" i="1" s="1"/>
  <c r="CF48" i="1"/>
  <c r="CI48" i="1" s="1"/>
  <c r="CF34" i="1"/>
  <c r="CI34" i="1" s="1"/>
  <c r="CF39" i="1"/>
  <c r="CI39" i="1" s="1"/>
  <c r="CF46" i="1"/>
  <c r="CI46" i="1" s="1"/>
  <c r="CF13" i="1"/>
  <c r="CI13" i="1" s="1"/>
  <c r="CF42" i="1"/>
  <c r="CI42" i="1" s="1"/>
  <c r="CF35" i="1"/>
  <c r="CI35" i="1" s="1"/>
  <c r="CF9" i="1"/>
  <c r="CI9" i="1" s="1"/>
  <c r="CF14" i="1"/>
  <c r="CI14" i="1" s="1"/>
  <c r="CF47" i="1"/>
  <c r="CI47" i="1" s="1"/>
  <c r="CF57" i="1"/>
  <c r="CI57" i="1" s="1"/>
  <c r="CF27" i="1"/>
  <c r="CI27" i="1" s="1"/>
  <c r="CF59" i="1"/>
  <c r="CI59" i="1" s="1"/>
  <c r="CF15" i="1"/>
  <c r="CI15" i="1" s="1"/>
  <c r="CF16" i="1"/>
  <c r="CI16" i="1" s="1"/>
  <c r="CF52" i="1"/>
  <c r="CI52" i="1" s="1"/>
  <c r="CF6" i="1"/>
  <c r="CI6" i="1" s="1"/>
  <c r="CF38" i="1"/>
  <c r="CI38" i="1" s="1"/>
  <c r="CF49" i="1"/>
  <c r="CI49" i="1" s="1"/>
  <c r="CF43" i="1"/>
  <c r="CI43" i="1" s="1"/>
  <c r="CF8" i="1"/>
  <c r="CI8" i="1" s="1"/>
  <c r="CF11" i="1"/>
  <c r="CI11" i="1" s="1"/>
  <c r="CF64" i="1"/>
  <c r="CI64" i="1" s="1"/>
  <c r="CF56" i="1"/>
  <c r="CI56" i="1" s="1"/>
  <c r="CF45" i="1"/>
  <c r="CI45" i="1" s="1"/>
  <c r="CF23" i="1"/>
  <c r="CI23" i="1" s="1"/>
  <c r="CF25" i="1"/>
  <c r="CI25" i="1" s="1"/>
  <c r="CF20" i="1"/>
  <c r="CI20" i="1" s="1"/>
  <c r="CF50" i="1"/>
  <c r="CI50" i="1" s="1"/>
  <c r="CF22" i="1"/>
  <c r="CI22" i="1" s="1"/>
  <c r="CF30" i="1"/>
  <c r="CI30" i="1" s="1"/>
  <c r="CF44" i="1"/>
  <c r="CI44" i="1" s="1"/>
  <c r="CF29" i="1"/>
  <c r="CI29" i="1" s="1"/>
  <c r="CF36" i="1"/>
  <c r="CI36" i="1" s="1"/>
  <c r="CF26" i="1"/>
  <c r="CI26" i="1" s="1"/>
  <c r="CF12" i="1"/>
  <c r="CI12" i="1" s="1"/>
  <c r="CF61" i="1"/>
  <c r="CI61" i="1" s="1"/>
  <c r="CF51" i="1"/>
  <c r="CI51" i="1" s="1"/>
  <c r="CF24" i="1"/>
  <c r="CI24" i="1" s="1"/>
  <c r="CF18" i="1"/>
  <c r="CI18" i="1" s="1"/>
  <c r="CF7" i="1"/>
  <c r="CI7" i="1" s="1"/>
  <c r="CF63" i="1"/>
  <c r="CI63" i="1" s="1"/>
  <c r="CF37" i="1"/>
  <c r="CI37" i="1" s="1"/>
  <c r="CF31" i="1"/>
  <c r="CI31" i="1" s="1"/>
  <c r="CF54" i="1"/>
  <c r="CI54" i="1" s="1"/>
  <c r="CF60" i="1"/>
  <c r="CI60" i="1" s="1"/>
  <c r="CF41" i="1"/>
  <c r="CI41" i="1" s="1"/>
  <c r="CF28" i="1"/>
  <c r="CI28" i="1" s="1"/>
  <c r="CF55" i="1"/>
  <c r="CI55" i="1" s="1"/>
  <c r="CF62" i="1"/>
  <c r="CI62" i="1" s="1"/>
  <c r="BR87" i="1"/>
  <c r="BR92" i="1"/>
  <c r="BR88" i="1"/>
  <c r="BR90" i="1"/>
  <c r="BR86" i="1"/>
  <c r="BR91" i="1"/>
  <c r="BR89" i="1"/>
  <c r="BR84" i="1"/>
  <c r="BU13" i="1"/>
  <c r="BX13" i="1" s="1"/>
  <c r="BU46" i="1"/>
  <c r="BX46" i="1" s="1"/>
  <c r="BU51" i="1"/>
  <c r="BX51" i="1" s="1"/>
  <c r="BU23" i="1"/>
  <c r="BX23" i="1" s="1"/>
  <c r="BU27" i="1"/>
  <c r="BX27" i="1" s="1"/>
  <c r="BU6" i="1"/>
  <c r="BX6" i="1" s="1"/>
  <c r="BU9" i="1"/>
  <c r="BX9" i="1" s="1"/>
  <c r="BU44" i="1"/>
  <c r="BX44" i="1" s="1"/>
  <c r="BU10" i="1"/>
  <c r="BX10" i="1" s="1"/>
  <c r="BU49" i="1"/>
  <c r="BX49" i="1" s="1"/>
  <c r="BU34" i="1"/>
  <c r="BX34" i="1" s="1"/>
  <c r="BU25" i="1"/>
  <c r="BX25" i="1" s="1"/>
  <c r="BU20" i="1"/>
  <c r="BX20" i="1" s="1"/>
  <c r="BU55" i="1"/>
  <c r="BX55" i="1" s="1"/>
  <c r="BU60" i="1"/>
  <c r="BX60" i="1" s="1"/>
  <c r="BU15" i="1"/>
  <c r="BX15" i="1" s="1"/>
  <c r="BU64" i="1"/>
  <c r="BX64" i="1" s="1"/>
  <c r="BU65" i="1"/>
  <c r="BX65" i="1" s="1"/>
  <c r="BU42" i="1"/>
  <c r="BX42" i="1" s="1"/>
  <c r="BU29" i="1"/>
  <c r="BX29" i="1" s="1"/>
  <c r="BU31" i="1"/>
  <c r="BX31" i="1" s="1"/>
  <c r="BU26" i="1"/>
  <c r="BX26" i="1" s="1"/>
  <c r="BU41" i="1"/>
  <c r="BX41" i="1" s="1"/>
  <c r="BU38" i="1"/>
  <c r="BX38" i="1" s="1"/>
  <c r="BU47" i="1"/>
  <c r="BX47" i="1" s="1"/>
  <c r="BU12" i="1"/>
  <c r="BX12" i="1" s="1"/>
  <c r="BU8" i="1"/>
  <c r="BX8" i="1" s="1"/>
  <c r="BU19" i="1"/>
  <c r="BX19" i="1" s="1"/>
  <c r="BU28" i="1"/>
  <c r="BX28" i="1" s="1"/>
  <c r="BU36" i="1"/>
  <c r="BX36" i="1" s="1"/>
  <c r="BU32" i="1"/>
  <c r="BX32" i="1" s="1"/>
  <c r="BU7" i="1"/>
  <c r="BX7" i="1" s="1"/>
  <c r="BU40" i="1"/>
  <c r="BX40" i="1" s="1"/>
  <c r="BU53" i="1"/>
  <c r="BX53" i="1" s="1"/>
  <c r="BU35" i="1"/>
  <c r="BX35" i="1" s="1"/>
  <c r="BU11" i="1"/>
  <c r="BX11" i="1" s="1"/>
  <c r="BU48" i="1"/>
  <c r="BX48" i="1" s="1"/>
  <c r="BU21" i="1"/>
  <c r="BX21" i="1" s="1"/>
  <c r="BU62" i="1"/>
  <c r="BX62" i="1" s="1"/>
  <c r="BU16" i="1"/>
  <c r="BX16" i="1" s="1"/>
  <c r="BU22" i="1"/>
  <c r="BX22" i="1" s="1"/>
  <c r="BU45" i="1"/>
  <c r="BX45" i="1" s="1"/>
  <c r="BU18" i="1"/>
  <c r="BX18" i="1" s="1"/>
  <c r="BU43" i="1"/>
  <c r="BX43" i="1" s="1"/>
  <c r="BU52" i="1"/>
  <c r="BX52" i="1" s="1"/>
  <c r="BU33" i="1"/>
  <c r="BX33" i="1" s="1"/>
  <c r="BU14" i="1"/>
  <c r="BX14" i="1" s="1"/>
  <c r="BU63" i="1"/>
  <c r="BX63" i="1" s="1"/>
  <c r="BU17" i="1"/>
  <c r="BX17" i="1" s="1"/>
  <c r="BU58" i="1"/>
  <c r="BX58" i="1" s="1"/>
  <c r="BU57" i="1"/>
  <c r="BX57" i="1" s="1"/>
  <c r="BU56" i="1"/>
  <c r="BX56" i="1" s="1"/>
  <c r="BU61" i="1"/>
  <c r="BX61" i="1" s="1"/>
  <c r="BU24" i="1"/>
  <c r="BX24" i="1" s="1"/>
  <c r="BU59" i="1"/>
  <c r="BX59" i="1" s="1"/>
  <c r="BU30" i="1"/>
  <c r="BX30" i="1" s="1"/>
  <c r="BU50" i="1"/>
  <c r="BX50" i="1" s="1"/>
  <c r="BU37" i="1"/>
  <c r="BX37" i="1" s="1"/>
  <c r="BU54" i="1"/>
  <c r="BX54" i="1" s="1"/>
  <c r="BU39" i="1"/>
  <c r="BX39" i="1" s="1"/>
  <c r="BU70" i="1"/>
  <c r="BU67" i="1"/>
  <c r="BX69" i="1"/>
  <c r="BU68" i="1"/>
  <c r="BD78" i="1"/>
  <c r="BD80" i="1"/>
  <c r="BD77" i="1"/>
  <c r="BD79" i="1"/>
  <c r="BD81" i="1"/>
  <c r="BD74" i="1"/>
  <c r="BD73" i="1"/>
  <c r="BD76" i="1"/>
  <c r="BD75" i="1"/>
  <c r="CF68" i="1" l="1"/>
  <c r="CI67" i="1"/>
  <c r="BX67" i="1"/>
  <c r="BX70" i="1"/>
  <c r="BX71" i="1" s="1"/>
  <c r="BU69" i="1"/>
  <c r="AT73" i="1"/>
  <c r="AT76" i="1"/>
  <c r="BL65" i="1"/>
  <c r="BL45" i="1"/>
  <c r="BL55" i="1"/>
  <c r="BL60" i="1"/>
  <c r="BL19" i="1"/>
  <c r="BL24" i="1"/>
  <c r="BL36" i="1"/>
  <c r="BL9" i="1"/>
  <c r="BL50" i="1"/>
  <c r="BL41" i="1"/>
  <c r="BL28" i="1"/>
  <c r="BL23" i="1"/>
  <c r="BL13" i="1"/>
  <c r="BL51" i="1"/>
  <c r="BL57" i="1"/>
  <c r="BL62" i="1"/>
  <c r="BL54" i="1"/>
  <c r="BL37" i="1"/>
  <c r="BL38" i="1"/>
  <c r="BL17" i="1"/>
  <c r="BL39" i="1"/>
  <c r="BL8" i="1"/>
  <c r="BL11" i="1"/>
  <c r="BL20" i="1"/>
  <c r="BL43" i="1"/>
  <c r="BL31" i="1"/>
  <c r="BL44" i="1"/>
  <c r="BL29" i="1"/>
  <c r="BL63" i="1"/>
  <c r="BL10" i="1"/>
  <c r="BL18" i="1"/>
  <c r="BL61" i="1"/>
  <c r="BL35" i="1"/>
  <c r="BL26" i="1"/>
  <c r="BL34" i="1"/>
  <c r="BL48" i="1"/>
  <c r="BL58" i="1"/>
  <c r="BL56" i="1"/>
  <c r="BL32" i="1"/>
  <c r="BL46" i="1"/>
  <c r="BL22" i="1"/>
  <c r="BL12" i="1"/>
  <c r="BL49" i="1"/>
  <c r="BL53" i="1"/>
  <c r="BL42" i="1"/>
  <c r="BL25" i="1"/>
  <c r="BL27" i="1"/>
  <c r="BL21" i="1"/>
  <c r="BL15" i="1"/>
  <c r="BL40" i="1"/>
  <c r="BL52" i="1"/>
  <c r="BL30" i="1"/>
  <c r="BL47" i="1"/>
  <c r="BL7" i="1"/>
  <c r="BL33" i="1"/>
  <c r="BL16" i="1"/>
  <c r="BL14" i="1"/>
  <c r="BL59" i="1"/>
  <c r="BL64" i="1"/>
  <c r="BG36" i="1" l="1"/>
  <c r="BI36" i="1" s="1"/>
  <c r="BG64" i="1"/>
  <c r="BI64" i="1" s="1"/>
  <c r="BG44" i="1"/>
  <c r="BI44" i="1" s="1"/>
  <c r="BG65" i="1"/>
  <c r="BI65" i="1" s="1"/>
  <c r="BG43" i="1"/>
  <c r="BI43" i="1" s="1"/>
  <c r="BG27" i="1"/>
  <c r="BI27" i="1" s="1"/>
  <c r="BG7" i="1"/>
  <c r="BI7" i="1" s="1"/>
  <c r="BG42" i="1"/>
  <c r="BI42" i="1" s="1"/>
  <c r="BG60" i="1"/>
  <c r="BI60" i="1" s="1"/>
  <c r="BG59" i="1"/>
  <c r="BI59" i="1" s="1"/>
  <c r="BG62" i="1"/>
  <c r="BI62" i="1" s="1"/>
  <c r="BG55" i="1"/>
  <c r="BI55" i="1" s="1"/>
  <c r="BG50" i="1"/>
  <c r="BI50" i="1" s="1"/>
  <c r="BG57" i="1"/>
  <c r="BI57" i="1" s="1"/>
  <c r="BG56" i="1"/>
  <c r="BI56" i="1" s="1"/>
  <c r="BG26" i="1"/>
  <c r="BI26" i="1" s="1"/>
  <c r="BG54" i="1"/>
  <c r="BI54" i="1" s="1"/>
  <c r="BG28" i="1"/>
  <c r="BI28" i="1" s="1"/>
  <c r="BG52" i="1"/>
  <c r="BI52" i="1" s="1"/>
  <c r="BG51" i="1"/>
  <c r="BI51" i="1" s="1"/>
  <c r="BG48" i="1"/>
  <c r="BI48" i="1" s="1"/>
  <c r="BG49" i="1"/>
  <c r="BI49" i="1" s="1"/>
  <c r="BG61" i="1"/>
  <c r="BI61" i="1" s="1"/>
  <c r="BG47" i="1"/>
  <c r="BI47" i="1" s="1"/>
  <c r="BG35" i="1"/>
  <c r="BI35" i="1" s="1"/>
  <c r="BG25" i="1"/>
  <c r="BI25" i="1" s="1"/>
  <c r="BG45" i="1"/>
  <c r="BI45" i="1" s="1"/>
  <c r="BG29" i="1"/>
  <c r="BI29" i="1" s="1"/>
  <c r="BG22" i="1"/>
  <c r="BI22" i="1" s="1"/>
  <c r="BG21" i="1"/>
  <c r="BI21" i="1" s="1"/>
  <c r="BG41" i="1"/>
  <c r="BI41" i="1" s="1"/>
  <c r="BG40" i="1"/>
  <c r="BI40" i="1" s="1"/>
  <c r="BG63" i="1"/>
  <c r="BI63" i="1" s="1"/>
  <c r="BG23" i="1"/>
  <c r="BI23" i="1" s="1"/>
  <c r="BG38" i="1"/>
  <c r="BI38" i="1" s="1"/>
  <c r="BG24" i="1"/>
  <c r="BI24" i="1" s="1"/>
  <c r="BG37" i="1"/>
  <c r="BI37" i="1" s="1"/>
  <c r="BG58" i="1"/>
  <c r="BI58" i="1" s="1"/>
  <c r="BG46" i="1"/>
  <c r="BI46" i="1" s="1"/>
  <c r="BG34" i="1"/>
  <c r="BI34" i="1" s="1"/>
  <c r="BG39" i="1"/>
  <c r="BI39" i="1" s="1"/>
  <c r="BG33" i="1"/>
  <c r="BI33" i="1" s="1"/>
  <c r="BG32" i="1"/>
  <c r="BI32" i="1" s="1"/>
  <c r="BG31" i="1"/>
  <c r="BI31" i="1" s="1"/>
  <c r="BG30" i="1"/>
  <c r="BI30" i="1" s="1"/>
  <c r="BG16" i="1"/>
  <c r="BI16" i="1" s="1"/>
  <c r="BG18" i="1"/>
  <c r="BI18" i="1" s="1"/>
  <c r="BG20" i="1"/>
  <c r="BI20" i="1" s="1"/>
  <c r="BG17" i="1"/>
  <c r="BI17" i="1" s="1"/>
  <c r="BG15" i="1"/>
  <c r="BI15" i="1" s="1"/>
  <c r="BG11" i="1"/>
  <c r="BI11" i="1" s="1"/>
  <c r="BG9" i="1"/>
  <c r="BI9" i="1" s="1"/>
  <c r="BG13" i="1"/>
  <c r="BI13" i="1" s="1"/>
  <c r="BG8" i="1"/>
  <c r="BI8" i="1" s="1"/>
  <c r="BG19" i="1"/>
  <c r="BI19" i="1" s="1"/>
  <c r="BG14" i="1"/>
  <c r="BI14" i="1" s="1"/>
  <c r="BG12" i="1"/>
  <c r="BI12" i="1" s="1"/>
  <c r="BG10" i="1"/>
  <c r="BI10" i="1" s="1"/>
  <c r="BG6" i="1"/>
  <c r="BI6" i="1" s="1"/>
  <c r="BL6" i="1"/>
  <c r="BA6" i="1"/>
  <c r="BJ70" i="1" l="1"/>
  <c r="BJ67" i="1"/>
  <c r="BM69" i="1"/>
  <c r="BJ68" i="1"/>
  <c r="BJ28" i="1"/>
  <c r="BM28" i="1" s="1"/>
  <c r="BJ17" i="1"/>
  <c r="BM17" i="1" s="1"/>
  <c r="BJ49" i="1"/>
  <c r="BM49" i="1" s="1"/>
  <c r="BJ58" i="1"/>
  <c r="BM58" i="1" s="1"/>
  <c r="BJ26" i="1"/>
  <c r="BM26" i="1" s="1"/>
  <c r="BJ18" i="1"/>
  <c r="BM18" i="1" s="1"/>
  <c r="BJ27" i="1"/>
  <c r="BM27" i="1" s="1"/>
  <c r="BJ37" i="1"/>
  <c r="BM37" i="1" s="1"/>
  <c r="BJ9" i="1"/>
  <c r="BM9" i="1" s="1"/>
  <c r="BJ62" i="1"/>
  <c r="BM62" i="1" s="1"/>
  <c r="BJ25" i="1"/>
  <c r="BM25" i="1" s="1"/>
  <c r="BJ33" i="1"/>
  <c r="BM33" i="1" s="1"/>
  <c r="BJ65" i="1"/>
  <c r="BM65" i="1" s="1"/>
  <c r="BJ52" i="1"/>
  <c r="BM52" i="1" s="1"/>
  <c r="BJ38" i="1"/>
  <c r="BM38" i="1" s="1"/>
  <c r="BJ11" i="1"/>
  <c r="BM11" i="1" s="1"/>
  <c r="BJ64" i="1"/>
  <c r="BM64" i="1" s="1"/>
  <c r="BJ63" i="1"/>
  <c r="BM63" i="1" s="1"/>
  <c r="BJ36" i="1"/>
  <c r="BM36" i="1" s="1"/>
  <c r="BJ12" i="1"/>
  <c r="BM12" i="1" s="1"/>
  <c r="BJ41" i="1"/>
  <c r="BM41" i="1" s="1"/>
  <c r="BJ16" i="1"/>
  <c r="BM16" i="1" s="1"/>
  <c r="BJ29" i="1"/>
  <c r="BM29" i="1" s="1"/>
  <c r="BJ40" i="1"/>
  <c r="BM40" i="1" s="1"/>
  <c r="BJ20" i="1"/>
  <c r="BM20" i="1" s="1"/>
  <c r="BJ59" i="1"/>
  <c r="BM59" i="1" s="1"/>
  <c r="BJ35" i="1"/>
  <c r="BM35" i="1" s="1"/>
  <c r="BJ39" i="1"/>
  <c r="BM39" i="1" s="1"/>
  <c r="BJ14" i="1"/>
  <c r="BM14" i="1" s="1"/>
  <c r="BJ56" i="1"/>
  <c r="BM56" i="1" s="1"/>
  <c r="BJ21" i="1"/>
  <c r="BM21" i="1" s="1"/>
  <c r="BJ15" i="1"/>
  <c r="BM15" i="1" s="1"/>
  <c r="BJ42" i="1"/>
  <c r="BM42" i="1" s="1"/>
  <c r="BJ61" i="1"/>
  <c r="BM61" i="1" s="1"/>
  <c r="BJ46" i="1"/>
  <c r="BM46" i="1" s="1"/>
  <c r="BJ8" i="1"/>
  <c r="BM8" i="1" s="1"/>
  <c r="BJ60" i="1"/>
  <c r="BM60" i="1" s="1"/>
  <c r="BJ47" i="1"/>
  <c r="BM47" i="1" s="1"/>
  <c r="BJ34" i="1"/>
  <c r="BM34" i="1" s="1"/>
  <c r="BJ50" i="1"/>
  <c r="BM50" i="1" s="1"/>
  <c r="BJ31" i="1"/>
  <c r="BM31" i="1" s="1"/>
  <c r="BJ48" i="1"/>
  <c r="BM48" i="1" s="1"/>
  <c r="BJ6" i="1"/>
  <c r="BM6" i="1" s="1"/>
  <c r="BJ54" i="1"/>
  <c r="BM54" i="1" s="1"/>
  <c r="BJ43" i="1"/>
  <c r="BM43" i="1" s="1"/>
  <c r="BJ51" i="1"/>
  <c r="BM51" i="1" s="1"/>
  <c r="BJ24" i="1"/>
  <c r="BM24" i="1" s="1"/>
  <c r="BJ7" i="1"/>
  <c r="BM7" i="1" s="1"/>
  <c r="BJ57" i="1"/>
  <c r="BM57" i="1" s="1"/>
  <c r="BJ22" i="1"/>
  <c r="BM22" i="1" s="1"/>
  <c r="BJ30" i="1"/>
  <c r="BM30" i="1" s="1"/>
  <c r="BJ44" i="1"/>
  <c r="BM44" i="1" s="1"/>
  <c r="BJ23" i="1"/>
  <c r="BM23" i="1" s="1"/>
  <c r="BJ13" i="1"/>
  <c r="BM13" i="1" s="1"/>
  <c r="BJ55" i="1"/>
  <c r="BM55" i="1" s="1"/>
  <c r="BJ45" i="1"/>
  <c r="BM45" i="1" s="1"/>
  <c r="BJ32" i="1"/>
  <c r="BM32" i="1" s="1"/>
  <c r="BJ10" i="1"/>
  <c r="BM10" i="1" s="1"/>
  <c r="BJ19" i="1"/>
  <c r="BM19" i="1" s="1"/>
  <c r="AH72" i="1"/>
  <c r="AH73" i="1"/>
  <c r="AH74" i="1"/>
  <c r="AH75" i="1"/>
  <c r="AH76" i="1"/>
  <c r="AH77" i="1"/>
  <c r="AH78" i="1"/>
  <c r="AH79" i="1"/>
  <c r="AH71" i="1"/>
  <c r="AT74" i="1"/>
  <c r="AT75" i="1"/>
  <c r="AT77" i="1"/>
  <c r="AT78" i="1"/>
  <c r="AT79" i="1"/>
  <c r="AT80" i="1"/>
  <c r="AT81" i="1"/>
  <c r="AW73" i="1"/>
  <c r="AS74" i="1"/>
  <c r="AS75" i="1"/>
  <c r="AS76" i="1"/>
  <c r="AS77" i="1"/>
  <c r="AS78" i="1"/>
  <c r="AS79" i="1"/>
  <c r="AS80" i="1"/>
  <c r="AS81" i="1"/>
  <c r="AS73" i="1"/>
  <c r="BM67" i="1" l="1"/>
  <c r="BJ69" i="1"/>
  <c r="BM70" i="1"/>
  <c r="BM71" i="1" s="1"/>
  <c r="AW75" i="1"/>
  <c r="AW76" i="1"/>
  <c r="AW77" i="1"/>
  <c r="AW78" i="1"/>
  <c r="AW79" i="1"/>
  <c r="AW80" i="1"/>
  <c r="AW81" i="1"/>
  <c r="AW74" i="1"/>
  <c r="AL82" i="1"/>
  <c r="AL83" i="1"/>
  <c r="AL84" i="1"/>
  <c r="AL86" i="1"/>
  <c r="AL87" i="1"/>
  <c r="AL88" i="1"/>
  <c r="AL89" i="1"/>
  <c r="AL85" i="1"/>
  <c r="AW91" i="1"/>
  <c r="AW90" i="1"/>
  <c r="AX90" i="1" s="1"/>
  <c r="AW89" i="1"/>
  <c r="AW88" i="1"/>
  <c r="AW86" i="1"/>
  <c r="AW87" i="1"/>
  <c r="AW85" i="1"/>
  <c r="AW84" i="1"/>
  <c r="AV65" i="1"/>
  <c r="AX65" i="1" s="1"/>
  <c r="BB65" i="1" s="1"/>
  <c r="BA65" i="1"/>
  <c r="AX86" i="1" l="1"/>
  <c r="AX89" i="1"/>
  <c r="AX88" i="1"/>
  <c r="AX91" i="1"/>
  <c r="AX87" i="1"/>
  <c r="AX84" i="1"/>
  <c r="AX85" i="1"/>
  <c r="AV64" i="1"/>
  <c r="AX64" i="1" s="1"/>
  <c r="BB64" i="1" s="1"/>
  <c r="BA64" i="1"/>
  <c r="AV55" i="1" l="1"/>
  <c r="AX55" i="1" s="1"/>
  <c r="BB55" i="1" s="1"/>
  <c r="AV32" i="1"/>
  <c r="AX32" i="1" s="1"/>
  <c r="BB32" i="1" s="1"/>
  <c r="AV31" i="1"/>
  <c r="AX31" i="1" s="1"/>
  <c r="BB31" i="1" s="1"/>
  <c r="AV8" i="1"/>
  <c r="AX8" i="1" s="1"/>
  <c r="BB8" i="1" s="1"/>
  <c r="AV7" i="1"/>
  <c r="AX7" i="1" s="1"/>
  <c r="BB7" i="1" s="1"/>
  <c r="AV13" i="1"/>
  <c r="AX13" i="1" s="1"/>
  <c r="BB13" i="1" s="1"/>
  <c r="AV14" i="1"/>
  <c r="AX14" i="1" s="1"/>
  <c r="BB14" i="1" s="1"/>
  <c r="AV9" i="1"/>
  <c r="AX9" i="1" s="1"/>
  <c r="BB9" i="1" s="1"/>
  <c r="AV16" i="1"/>
  <c r="AX16" i="1" s="1"/>
  <c r="BB16" i="1" s="1"/>
  <c r="AV12" i="1"/>
  <c r="AX12" i="1" s="1"/>
  <c r="BB12" i="1" s="1"/>
  <c r="AV15" i="1"/>
  <c r="AX15" i="1" s="1"/>
  <c r="BB15" i="1" s="1"/>
  <c r="AV10" i="1"/>
  <c r="AX10" i="1" s="1"/>
  <c r="BB10" i="1" s="1"/>
  <c r="AV11" i="1"/>
  <c r="AX11" i="1" s="1"/>
  <c r="BB11" i="1" s="1"/>
  <c r="AV20" i="1"/>
  <c r="AX20" i="1" s="1"/>
  <c r="BB20" i="1" s="1"/>
  <c r="AV19" i="1"/>
  <c r="AX19" i="1" s="1"/>
  <c r="BB19" i="1" s="1"/>
  <c r="AV18" i="1"/>
  <c r="AX18" i="1" s="1"/>
  <c r="BB18" i="1" s="1"/>
  <c r="AV17" i="1"/>
  <c r="AX17" i="1" s="1"/>
  <c r="BB17" i="1" s="1"/>
  <c r="AV58" i="1"/>
  <c r="AX58" i="1" s="1"/>
  <c r="BB58" i="1" s="1"/>
  <c r="AV60" i="1"/>
  <c r="AX60" i="1" s="1"/>
  <c r="BB60" i="1" s="1"/>
  <c r="AV34" i="1"/>
  <c r="AX34" i="1" s="1"/>
  <c r="BB34" i="1" s="1"/>
  <c r="AV52" i="1"/>
  <c r="AX52" i="1" s="1"/>
  <c r="BB52" i="1" s="1"/>
  <c r="AV57" i="1"/>
  <c r="AX57" i="1" s="1"/>
  <c r="BB57" i="1" s="1"/>
  <c r="AV35" i="1"/>
  <c r="AX35" i="1" s="1"/>
  <c r="BB35" i="1" s="1"/>
  <c r="AV36" i="1"/>
  <c r="AX36" i="1" s="1"/>
  <c r="BB36" i="1" s="1"/>
  <c r="AV51" i="1"/>
  <c r="AX51" i="1" s="1"/>
  <c r="BB51" i="1" s="1"/>
  <c r="AV37" i="1"/>
  <c r="AX37" i="1" s="1"/>
  <c r="BB37" i="1" s="1"/>
  <c r="AV44" i="1"/>
  <c r="AX44" i="1" s="1"/>
  <c r="BB44" i="1" s="1"/>
  <c r="AV53" i="1"/>
  <c r="AX53" i="1" s="1"/>
  <c r="BB53" i="1" s="1"/>
  <c r="AV54" i="1"/>
  <c r="AX54" i="1" s="1"/>
  <c r="BB54" i="1" s="1"/>
  <c r="AV61" i="1"/>
  <c r="AX61" i="1" s="1"/>
  <c r="BB61" i="1" s="1"/>
  <c r="AV62" i="1"/>
  <c r="AX62" i="1" s="1"/>
  <c r="BB62" i="1" s="1"/>
  <c r="AV39" i="1"/>
  <c r="AX39" i="1" s="1"/>
  <c r="BB39" i="1" s="1"/>
  <c r="AV40" i="1"/>
  <c r="AX40" i="1" s="1"/>
  <c r="BB40" i="1" s="1"/>
  <c r="AV41" i="1"/>
  <c r="AX41" i="1" s="1"/>
  <c r="BB41" i="1" s="1"/>
  <c r="AV42" i="1"/>
  <c r="AX42" i="1" s="1"/>
  <c r="BB42" i="1" s="1"/>
  <c r="AV43" i="1"/>
  <c r="AX43" i="1" s="1"/>
  <c r="BB43" i="1" s="1"/>
  <c r="AV56" i="1"/>
  <c r="AX56" i="1" s="1"/>
  <c r="BB56" i="1" s="1"/>
  <c r="AV27" i="1"/>
  <c r="AX27" i="1" s="1"/>
  <c r="BB27" i="1" s="1"/>
  <c r="AV24" i="1"/>
  <c r="AX24" i="1" s="1"/>
  <c r="BB24" i="1" s="1"/>
  <c r="AV28" i="1"/>
  <c r="AX28" i="1" s="1"/>
  <c r="BB28" i="1" s="1"/>
  <c r="AV38" i="1"/>
  <c r="AX38" i="1" s="1"/>
  <c r="BB38" i="1" s="1"/>
  <c r="AV46" i="1"/>
  <c r="AX46" i="1" s="1"/>
  <c r="BB46" i="1" s="1"/>
  <c r="AV23" i="1"/>
  <c r="AX23" i="1" s="1"/>
  <c r="BB23" i="1" s="1"/>
  <c r="AV45" i="1"/>
  <c r="AX45" i="1" s="1"/>
  <c r="BB45" i="1" s="1"/>
  <c r="AV21" i="1"/>
  <c r="AX21" i="1" s="1"/>
  <c r="BB21" i="1" s="1"/>
  <c r="AV33" i="1"/>
  <c r="AX33" i="1" s="1"/>
  <c r="BB33" i="1" s="1"/>
  <c r="AV22" i="1"/>
  <c r="AX22" i="1" s="1"/>
  <c r="BB22" i="1" s="1"/>
  <c r="AV26" i="1"/>
  <c r="AX26" i="1" s="1"/>
  <c r="BB26" i="1" s="1"/>
  <c r="AV47" i="1"/>
  <c r="AX47" i="1" s="1"/>
  <c r="BB47" i="1" s="1"/>
  <c r="AV48" i="1"/>
  <c r="AX48" i="1" s="1"/>
  <c r="BB48" i="1" s="1"/>
  <c r="AV59" i="1"/>
  <c r="AX59" i="1" s="1"/>
  <c r="BB59" i="1" s="1"/>
  <c r="AV50" i="1"/>
  <c r="AX50" i="1" s="1"/>
  <c r="BB50" i="1" s="1"/>
  <c r="AV25" i="1"/>
  <c r="AX25" i="1" s="1"/>
  <c r="BB25" i="1" s="1"/>
  <c r="AV49" i="1"/>
  <c r="AX49" i="1" s="1"/>
  <c r="BB49" i="1" s="1"/>
  <c r="AV29" i="1"/>
  <c r="AX29" i="1" s="1"/>
  <c r="BB29" i="1" s="1"/>
  <c r="AV63" i="1"/>
  <c r="AX63" i="1" s="1"/>
  <c r="BB63" i="1" s="1"/>
  <c r="AV30" i="1"/>
  <c r="AX30" i="1" s="1"/>
  <c r="BB30" i="1" s="1"/>
  <c r="AV6" i="1"/>
  <c r="AX6" i="1" s="1"/>
  <c r="BB6" i="1" s="1"/>
  <c r="BA47" i="1"/>
  <c r="BA11" i="1"/>
  <c r="BA46" i="1"/>
  <c r="BA51" i="1"/>
  <c r="BA13" i="1"/>
  <c r="BA41" i="1"/>
  <c r="BA38" i="1"/>
  <c r="BA25" i="1"/>
  <c r="BA23" i="1"/>
  <c r="BA34" i="1"/>
  <c r="BA48" i="1"/>
  <c r="BA54" i="1"/>
  <c r="BA63" i="1"/>
  <c r="BA33" i="1"/>
  <c r="BA12" i="1"/>
  <c r="BA40" i="1"/>
  <c r="BA60" i="1"/>
  <c r="BA59" i="1"/>
  <c r="BA22" i="1"/>
  <c r="BA15" i="1"/>
  <c r="BA53" i="1"/>
  <c r="BA19" i="1"/>
  <c r="BA35" i="1"/>
  <c r="BA39" i="1"/>
  <c r="BA10" i="1"/>
  <c r="BA7" i="1"/>
  <c r="BA57" i="1"/>
  <c r="BA24" i="1"/>
  <c r="BA14" i="1"/>
  <c r="BA44" i="1"/>
  <c r="BA55" i="1"/>
  <c r="BA43" i="1"/>
  <c r="BA42" i="1"/>
  <c r="BA21" i="1"/>
  <c r="BA27" i="1"/>
  <c r="BA61" i="1"/>
  <c r="BA28" i="1"/>
  <c r="BA20" i="1"/>
  <c r="BA56" i="1"/>
  <c r="BA16" i="1"/>
  <c r="BA45" i="1"/>
  <c r="BA50" i="1"/>
  <c r="BA9" i="1"/>
  <c r="BA36" i="1"/>
  <c r="BA52" i="1"/>
  <c r="BA49" i="1"/>
  <c r="BA37" i="1"/>
  <c r="BA32" i="1"/>
  <c r="BA17" i="1"/>
  <c r="BA8" i="1"/>
  <c r="BA58" i="1"/>
  <c r="BA29" i="1"/>
  <c r="BA31" i="1"/>
  <c r="BA26" i="1"/>
  <c r="BA30" i="1"/>
  <c r="BA62" i="1"/>
  <c r="BA18" i="1"/>
  <c r="AY68" i="1" l="1"/>
  <c r="BB67" i="1"/>
  <c r="AY70" i="1"/>
  <c r="AY67" i="1"/>
  <c r="BB69" i="1"/>
  <c r="AK62" i="1"/>
  <c r="AP14" i="1"/>
  <c r="AP23" i="1"/>
  <c r="AP30" i="1"/>
  <c r="AP62" i="1"/>
  <c r="AP55" i="1"/>
  <c r="AP36" i="1"/>
  <c r="AP28" i="1"/>
  <c r="AP39" i="1"/>
  <c r="AP24" i="1"/>
  <c r="AP51" i="1"/>
  <c r="AP50" i="1"/>
  <c r="AP9" i="1"/>
  <c r="AP17" i="1"/>
  <c r="AP57" i="1"/>
  <c r="AP6" i="1"/>
  <c r="AP52" i="1"/>
  <c r="AP37" i="1"/>
  <c r="AP56" i="1"/>
  <c r="AP38" i="1"/>
  <c r="AP59" i="1"/>
  <c r="AP43" i="1"/>
  <c r="AP13" i="1"/>
  <c r="AP32" i="1"/>
  <c r="AP42" i="1"/>
  <c r="AP34" i="1"/>
  <c r="AP19" i="1"/>
  <c r="AP29" i="1"/>
  <c r="AP16" i="1"/>
  <c r="AP35" i="1"/>
  <c r="AP47" i="1"/>
  <c r="AP18" i="1"/>
  <c r="AP10" i="1"/>
  <c r="AP46" i="1"/>
  <c r="AP31" i="1"/>
  <c r="AP45" i="1"/>
  <c r="AP54" i="1"/>
  <c r="AP48" i="1"/>
  <c r="AP61" i="1"/>
  <c r="AP40" i="1"/>
  <c r="AP58" i="1"/>
  <c r="AP27" i="1"/>
  <c r="AP22" i="1"/>
  <c r="AP26" i="1"/>
  <c r="AP12" i="1"/>
  <c r="AP20" i="1"/>
  <c r="AP53" i="1"/>
  <c r="AP8" i="1"/>
  <c r="AP7" i="1"/>
  <c r="AP41" i="1"/>
  <c r="AP25" i="1"/>
  <c r="AP49" i="1"/>
  <c r="AP44" i="1"/>
  <c r="AP33" i="1"/>
  <c r="AP60" i="1"/>
  <c r="AP15" i="1"/>
  <c r="AP21" i="1"/>
  <c r="AP63" i="1"/>
  <c r="AY69" i="1" l="1"/>
  <c r="BB70" i="1"/>
  <c r="BB71" i="1" s="1"/>
  <c r="AQ73" i="1"/>
  <c r="AQ71" i="1"/>
  <c r="AP11" i="1"/>
  <c r="AQ67" i="1" l="1"/>
  <c r="AN66" i="1"/>
  <c r="AN65" i="1"/>
  <c r="AM62" i="1"/>
  <c r="AQ62" i="1" s="1"/>
  <c r="AK39" i="1"/>
  <c r="AM39" i="1" s="1"/>
  <c r="AQ39" i="1" s="1"/>
  <c r="AK41" i="1"/>
  <c r="AM41" i="1" s="1"/>
  <c r="AQ41" i="1" s="1"/>
  <c r="AK49" i="1"/>
  <c r="AM49" i="1" s="1"/>
  <c r="AQ49" i="1" s="1"/>
  <c r="AM60" i="1"/>
  <c r="AQ60" i="1" s="1"/>
  <c r="T42" i="1"/>
  <c r="T40" i="1"/>
  <c r="T33" i="1"/>
  <c r="AE34" i="1"/>
  <c r="AE11" i="1"/>
  <c r="AE29" i="1"/>
  <c r="AE27" i="1"/>
  <c r="T47" i="1"/>
  <c r="AE7" i="1"/>
  <c r="AE37" i="1"/>
  <c r="AE8" i="1"/>
  <c r="AE36" i="1"/>
  <c r="T25" i="1"/>
  <c r="T23" i="1"/>
  <c r="AE13" i="1"/>
  <c r="T28" i="1"/>
  <c r="T44" i="1"/>
  <c r="T26" i="1"/>
  <c r="T46" i="1"/>
  <c r="T31" i="1"/>
  <c r="T21" i="1"/>
  <c r="AE28" i="1"/>
  <c r="AE26" i="1"/>
  <c r="AE21" i="1"/>
  <c r="AE22" i="1"/>
  <c r="AE20" i="1"/>
  <c r="T22" i="1"/>
  <c r="AE50" i="1"/>
  <c r="AE14" i="1"/>
  <c r="AE31" i="1"/>
  <c r="T49" i="1"/>
  <c r="AE10" i="1"/>
  <c r="AE19" i="1"/>
  <c r="AE44" i="1"/>
  <c r="T52" i="1"/>
  <c r="T53" i="1"/>
  <c r="AE38" i="1"/>
  <c r="T32" i="1"/>
  <c r="AE23" i="1"/>
  <c r="AE18" i="1"/>
  <c r="AE16" i="1"/>
  <c r="T50" i="1"/>
  <c r="AE51" i="1"/>
  <c r="AE12" i="1"/>
  <c r="T43" i="1"/>
  <c r="AE25" i="1"/>
  <c r="T36" i="1"/>
  <c r="AE46" i="1"/>
  <c r="T37" i="1"/>
  <c r="T27" i="1"/>
  <c r="T24" i="1"/>
  <c r="T41" i="1"/>
  <c r="T6" i="1"/>
  <c r="AE15" i="1"/>
  <c r="T39" i="1"/>
  <c r="AE24" i="1"/>
  <c r="T35" i="1"/>
  <c r="AE49" i="1"/>
  <c r="AE52" i="1"/>
  <c r="AE33" i="1"/>
  <c r="T51" i="1"/>
  <c r="T29" i="1"/>
  <c r="AE9" i="1"/>
  <c r="AE30" i="1"/>
  <c r="AE53" i="1"/>
  <c r="T30" i="1"/>
  <c r="T48" i="1"/>
  <c r="AE17" i="1"/>
  <c r="T38" i="1"/>
  <c r="AE48" i="1"/>
  <c r="T45" i="1"/>
  <c r="AE35" i="1"/>
  <c r="AE47" i="1"/>
  <c r="T34" i="1"/>
  <c r="AE32" i="1"/>
  <c r="AE45" i="1"/>
  <c r="AM28" i="1" l="1"/>
  <c r="AQ28" i="1" s="1"/>
  <c r="O47" i="1"/>
  <c r="Q47" i="1" s="1"/>
  <c r="U47" i="1" s="1"/>
  <c r="Z20" i="1"/>
  <c r="AB20" i="1" s="1"/>
  <c r="AF20" i="1" s="1"/>
  <c r="AK6" i="1"/>
  <c r="AM6" i="1" s="1"/>
  <c r="AQ6" i="1" s="1"/>
  <c r="AK18" i="1"/>
  <c r="AM18" i="1" s="1"/>
  <c r="AQ18" i="1" s="1"/>
  <c r="AK9" i="1"/>
  <c r="AM9" i="1" s="1"/>
  <c r="AQ9" i="1" s="1"/>
  <c r="AK11" i="1"/>
  <c r="AM11" i="1" s="1"/>
  <c r="AQ11" i="1" s="1"/>
  <c r="AK16" i="1"/>
  <c r="AM16" i="1" s="1"/>
  <c r="AQ16" i="1" s="1"/>
  <c r="AK19" i="1"/>
  <c r="AM19" i="1" s="1"/>
  <c r="AQ19" i="1" s="1"/>
  <c r="AK10" i="1"/>
  <c r="AM10" i="1" s="1"/>
  <c r="AQ10" i="1" s="1"/>
  <c r="AK8" i="1"/>
  <c r="AM8" i="1" s="1"/>
  <c r="AQ8" i="1" s="1"/>
  <c r="AK13" i="1"/>
  <c r="AM13" i="1" s="1"/>
  <c r="AQ13" i="1" s="1"/>
  <c r="AK17" i="1"/>
  <c r="AM17" i="1" s="1"/>
  <c r="AQ17" i="1" s="1"/>
  <c r="AK20" i="1"/>
  <c r="AM20" i="1" s="1"/>
  <c r="AQ20" i="1" s="1"/>
  <c r="AK15" i="1"/>
  <c r="AM15" i="1" s="1"/>
  <c r="AQ15" i="1" s="1"/>
  <c r="AK14" i="1"/>
  <c r="AM14" i="1" s="1"/>
  <c r="AQ14" i="1" s="1"/>
  <c r="AK7" i="1"/>
  <c r="AM7" i="1" s="1"/>
  <c r="AQ7" i="1" s="1"/>
  <c r="AK59" i="1"/>
  <c r="AM59" i="1" s="1"/>
  <c r="AQ59" i="1" s="1"/>
  <c r="AK47" i="1"/>
  <c r="AM47" i="1" s="1"/>
  <c r="AQ47" i="1" s="1"/>
  <c r="AK35" i="1"/>
  <c r="AM35" i="1" s="1"/>
  <c r="AQ35" i="1" s="1"/>
  <c r="AK31" i="1"/>
  <c r="AM31" i="1" s="1"/>
  <c r="AQ31" i="1" s="1"/>
  <c r="AK57" i="1"/>
  <c r="AM57" i="1" s="1"/>
  <c r="AQ57" i="1" s="1"/>
  <c r="AK56" i="1"/>
  <c r="AM56" i="1" s="1"/>
  <c r="AQ56" i="1" s="1"/>
  <c r="AK33" i="1"/>
  <c r="AM33" i="1" s="1"/>
  <c r="AQ33" i="1" s="1"/>
  <c r="AK23" i="1"/>
  <c r="AM23" i="1" s="1"/>
  <c r="AQ23" i="1" s="1"/>
  <c r="AK46" i="1"/>
  <c r="AM46" i="1" s="1"/>
  <c r="AQ46" i="1" s="1"/>
  <c r="AK45" i="1"/>
  <c r="AM45" i="1" s="1"/>
  <c r="AQ45" i="1" s="1"/>
  <c r="AK21" i="1"/>
  <c r="AM21" i="1" s="1"/>
  <c r="AQ21" i="1" s="1"/>
  <c r="AK44" i="1"/>
  <c r="AM44" i="1" s="1"/>
  <c r="AQ44" i="1" s="1"/>
  <c r="AK52" i="1"/>
  <c r="AM52" i="1" s="1"/>
  <c r="AQ52" i="1" s="1"/>
  <c r="AK27" i="1"/>
  <c r="AM27" i="1" s="1"/>
  <c r="AQ27" i="1" s="1"/>
  <c r="AK34" i="1"/>
  <c r="AM34" i="1" s="1"/>
  <c r="AQ34" i="1" s="1"/>
  <c r="AK30" i="1"/>
  <c r="AM30" i="1" s="1"/>
  <c r="AQ30" i="1" s="1"/>
  <c r="AK29" i="1"/>
  <c r="AM29" i="1" s="1"/>
  <c r="AQ29" i="1" s="1"/>
  <c r="AK24" i="1"/>
  <c r="AM24" i="1" s="1"/>
  <c r="AQ24" i="1" s="1"/>
  <c r="AK43" i="1"/>
  <c r="AM43" i="1" s="1"/>
  <c r="AQ43" i="1" s="1"/>
  <c r="AK42" i="1"/>
  <c r="AM42" i="1" s="1"/>
  <c r="AQ42" i="1" s="1"/>
  <c r="AK55" i="1"/>
  <c r="AM55" i="1" s="1"/>
  <c r="AQ55" i="1" s="1"/>
  <c r="AK54" i="1"/>
  <c r="AM54" i="1" s="1"/>
  <c r="AQ54" i="1" s="1"/>
  <c r="AK26" i="1"/>
  <c r="AM26" i="1" s="1"/>
  <c r="AQ26" i="1" s="1"/>
  <c r="AK50" i="1"/>
  <c r="AM50" i="1" s="1"/>
  <c r="AQ50" i="1" s="1"/>
  <c r="AK51" i="1"/>
  <c r="AM51" i="1" s="1"/>
  <c r="AQ51" i="1" s="1"/>
  <c r="AK22" i="1"/>
  <c r="AM22" i="1" s="1"/>
  <c r="AQ22" i="1" s="1"/>
  <c r="AK40" i="1"/>
  <c r="AM40" i="1" s="1"/>
  <c r="AQ40" i="1" s="1"/>
  <c r="AK32" i="1"/>
  <c r="AM32" i="1" s="1"/>
  <c r="AQ32" i="1" s="1"/>
  <c r="AK61" i="1"/>
  <c r="AM61" i="1" s="1"/>
  <c r="AQ61" i="1" s="1"/>
  <c r="AK38" i="1"/>
  <c r="AM38" i="1" s="1"/>
  <c r="AQ38" i="1" s="1"/>
  <c r="AK25" i="1"/>
  <c r="AM25" i="1" s="1"/>
  <c r="AQ25" i="1" s="1"/>
  <c r="AK53" i="1"/>
  <c r="AM53" i="1" s="1"/>
  <c r="AQ53" i="1" s="1"/>
  <c r="AK63" i="1"/>
  <c r="AM63" i="1" s="1"/>
  <c r="AQ63" i="1" s="1"/>
  <c r="AK37" i="1"/>
  <c r="AM37" i="1" s="1"/>
  <c r="AQ37" i="1" s="1"/>
  <c r="AK58" i="1"/>
  <c r="AM58" i="1" s="1"/>
  <c r="AQ58" i="1" s="1"/>
  <c r="AK48" i="1"/>
  <c r="AM48" i="1" s="1"/>
  <c r="AQ48" i="1" s="1"/>
  <c r="AK36" i="1"/>
  <c r="AM36" i="1" s="1"/>
  <c r="AQ36" i="1" s="1"/>
  <c r="AK12" i="1"/>
  <c r="AM12" i="1" s="1"/>
  <c r="AQ12" i="1" s="1"/>
  <c r="AQ65" i="1" l="1"/>
  <c r="Z23" i="1"/>
  <c r="Z50" i="1"/>
  <c r="Z34" i="1"/>
  <c r="Z35" i="1"/>
  <c r="Z36" i="1"/>
  <c r="AB36" i="1" s="1"/>
  <c r="AF36" i="1" s="1"/>
  <c r="Z32" i="1"/>
  <c r="Z26" i="1"/>
  <c r="Z22" i="1"/>
  <c r="Z14" i="1"/>
  <c r="Z11" i="1"/>
  <c r="Z38" i="1" l="1"/>
  <c r="Z48" i="1"/>
  <c r="Z24" i="1"/>
  <c r="AB24" i="1" s="1"/>
  <c r="AF24" i="1" s="1"/>
  <c r="Z29" i="1"/>
  <c r="Z19" i="1"/>
  <c r="Z37" i="1"/>
  <c r="Z33" i="1"/>
  <c r="Z31" i="1"/>
  <c r="Z13" i="1"/>
  <c r="Z30" i="1"/>
  <c r="Z25" i="1"/>
  <c r="Z27" i="1"/>
  <c r="Z51" i="1"/>
  <c r="Z7" i="1"/>
  <c r="Z12" i="1"/>
  <c r="Z15" i="1"/>
  <c r="Z53" i="1"/>
  <c r="Z17" i="1"/>
  <c r="Z46" i="1"/>
  <c r="Z28" i="1"/>
  <c r="Z47" i="1"/>
  <c r="Z16" i="1"/>
  <c r="Z45" i="1"/>
  <c r="Z52" i="1"/>
  <c r="Z49" i="1"/>
  <c r="Z10" i="1"/>
  <c r="Z44" i="1"/>
  <c r="Z21" i="1"/>
  <c r="Z8" i="1"/>
  <c r="AE6" i="1"/>
  <c r="AE42" i="1"/>
  <c r="AE62" i="1"/>
  <c r="AE59" i="1"/>
  <c r="AE56" i="1"/>
  <c r="AE54" i="1"/>
  <c r="AE55" i="1"/>
  <c r="AE43" i="1"/>
  <c r="AE40" i="1"/>
  <c r="AE61" i="1"/>
  <c r="AE57" i="1"/>
  <c r="AE39" i="1"/>
  <c r="AE58" i="1"/>
  <c r="AE41" i="1"/>
  <c r="AE60" i="1"/>
  <c r="AQ74" i="1" l="1"/>
  <c r="AQ76" i="1"/>
  <c r="AN67" i="1"/>
  <c r="AQ75" i="1" s="1"/>
  <c r="AF66" i="1"/>
  <c r="AC65" i="1"/>
  <c r="AQ68" i="1"/>
  <c r="AB8" i="1"/>
  <c r="AF8" i="1" s="1"/>
  <c r="AB9" i="1"/>
  <c r="AF9" i="1" s="1"/>
  <c r="AB7" i="1"/>
  <c r="AF7" i="1" s="1"/>
  <c r="AB11" i="1"/>
  <c r="AF11" i="1" s="1"/>
  <c r="AB30" i="1"/>
  <c r="AF30" i="1" s="1"/>
  <c r="AB35" i="1"/>
  <c r="AF35" i="1" s="1"/>
  <c r="AB51" i="1"/>
  <c r="AF51" i="1" s="1"/>
  <c r="AB21" i="1"/>
  <c r="AF21" i="1" s="1"/>
  <c r="AB34" i="1"/>
  <c r="AF34" i="1" s="1"/>
  <c r="AB48" i="1"/>
  <c r="AF48" i="1" s="1"/>
  <c r="AB38" i="1"/>
  <c r="AF38" i="1" s="1"/>
  <c r="AB52" i="1"/>
  <c r="AF52" i="1" s="1"/>
  <c r="AB44" i="1"/>
  <c r="AF44" i="1" s="1"/>
  <c r="AB13" i="1"/>
  <c r="AF13" i="1" s="1"/>
  <c r="AB50" i="1"/>
  <c r="AF50" i="1" s="1"/>
  <c r="AB14" i="1"/>
  <c r="AF14" i="1" s="1"/>
  <c r="AB31" i="1"/>
  <c r="AF31" i="1" s="1"/>
  <c r="AB33" i="1"/>
  <c r="AF33" i="1" s="1"/>
  <c r="AB27" i="1"/>
  <c r="AF27" i="1" s="1"/>
  <c r="AB22" i="1"/>
  <c r="AF22" i="1" s="1"/>
  <c r="AB47" i="1"/>
  <c r="AF47" i="1" s="1"/>
  <c r="AB10" i="1"/>
  <c r="AF10" i="1" s="1"/>
  <c r="AB18" i="1"/>
  <c r="AF18" i="1" s="1"/>
  <c r="AB25" i="1"/>
  <c r="AF25" i="1" s="1"/>
  <c r="AB28" i="1"/>
  <c r="AF28" i="1" s="1"/>
  <c r="AB49" i="1"/>
  <c r="AF49" i="1" s="1"/>
  <c r="AB46" i="1"/>
  <c r="AF46" i="1" s="1"/>
  <c r="AB45" i="1"/>
  <c r="AF45" i="1" s="1"/>
  <c r="AB32" i="1"/>
  <c r="AF32" i="1" s="1"/>
  <c r="AB37" i="1"/>
  <c r="AF37" i="1" s="1"/>
  <c r="AB16" i="1"/>
  <c r="AF16" i="1" s="1"/>
  <c r="AB17" i="1"/>
  <c r="AF17" i="1" s="1"/>
  <c r="AB26" i="1"/>
  <c r="AF26" i="1" s="1"/>
  <c r="AB19" i="1"/>
  <c r="AF19" i="1" s="1"/>
  <c r="AB23" i="1"/>
  <c r="AF23" i="1" s="1"/>
  <c r="AB53" i="1"/>
  <c r="AF53" i="1" s="1"/>
  <c r="AB15" i="1"/>
  <c r="AF15" i="1" s="1"/>
  <c r="AB12" i="1"/>
  <c r="AF12" i="1" s="1"/>
  <c r="AB29" i="1"/>
  <c r="AF29" i="1" s="1"/>
  <c r="Z54" i="1"/>
  <c r="AB54" i="1" s="1"/>
  <c r="AF54" i="1" s="1"/>
  <c r="Z39" i="1"/>
  <c r="AB39" i="1" s="1"/>
  <c r="AF39" i="1" s="1"/>
  <c r="Z6" i="1"/>
  <c r="AB6" i="1" s="1"/>
  <c r="AF6" i="1" s="1"/>
  <c r="Z42" i="1"/>
  <c r="AB42" i="1" s="1"/>
  <c r="AF42" i="1" s="1"/>
  <c r="Z57" i="1"/>
  <c r="AB57" i="1" s="1"/>
  <c r="AF57" i="1" s="1"/>
  <c r="Z56" i="1"/>
  <c r="AB56" i="1" s="1"/>
  <c r="AF56" i="1" s="1"/>
  <c r="Z62" i="1"/>
  <c r="AB62" i="1" s="1"/>
  <c r="AF62" i="1" s="1"/>
  <c r="Z43" i="1"/>
  <c r="AB43" i="1" s="1"/>
  <c r="AF43" i="1" s="1"/>
  <c r="Z61" i="1"/>
  <c r="AB61" i="1" s="1"/>
  <c r="AF61" i="1" s="1"/>
  <c r="Z60" i="1"/>
  <c r="AB60" i="1" s="1"/>
  <c r="AF60" i="1" s="1"/>
  <c r="Z40" i="1"/>
  <c r="AB40" i="1" s="1"/>
  <c r="AF40" i="1" s="1"/>
  <c r="Z58" i="1"/>
  <c r="AB58" i="1" s="1"/>
  <c r="AF58" i="1" s="1"/>
  <c r="Z59" i="1"/>
  <c r="AB59" i="1" s="1"/>
  <c r="AF59" i="1" s="1"/>
  <c r="Z41" i="1"/>
  <c r="AB41" i="1" s="1"/>
  <c r="AF41" i="1" s="1"/>
  <c r="Z55" i="1"/>
  <c r="AB55" i="1" s="1"/>
  <c r="AF55" i="1" s="1"/>
  <c r="T10" i="1"/>
  <c r="T19" i="1"/>
  <c r="T8" i="1"/>
  <c r="T9" i="1"/>
  <c r="T11" i="1"/>
  <c r="T15" i="1"/>
  <c r="T7" i="1"/>
  <c r="T12" i="1"/>
  <c r="T13" i="1"/>
  <c r="T16" i="1"/>
  <c r="T14" i="1"/>
  <c r="T17" i="1"/>
  <c r="T18" i="1"/>
  <c r="T20" i="1"/>
  <c r="AQ72" i="1" l="1"/>
  <c r="AQ69" i="1"/>
  <c r="R56" i="1"/>
  <c r="U57" i="1"/>
  <c r="AF64" i="1"/>
  <c r="R55" i="1"/>
  <c r="AC67" i="1"/>
  <c r="AC64" i="1"/>
  <c r="CA5" i="2"/>
  <c r="CA6" i="2"/>
  <c r="CA7" i="2"/>
  <c r="CA8" i="2"/>
  <c r="CA9" i="2"/>
  <c r="CA10" i="2"/>
  <c r="CA11" i="2"/>
  <c r="CA12" i="2"/>
  <c r="CA13" i="2"/>
  <c r="CA14" i="2"/>
  <c r="CA15" i="2"/>
  <c r="CA16" i="2"/>
  <c r="CA17" i="2"/>
  <c r="CA4" i="2"/>
  <c r="BZ5" i="2"/>
  <c r="BZ6" i="2"/>
  <c r="BZ7" i="2"/>
  <c r="BZ8" i="2"/>
  <c r="BZ9" i="2"/>
  <c r="BZ10" i="2"/>
  <c r="BZ11" i="2"/>
  <c r="BZ12" i="2"/>
  <c r="BZ13" i="2"/>
  <c r="BZ14" i="2"/>
  <c r="BZ15" i="2"/>
  <c r="BZ16" i="2"/>
  <c r="BZ17" i="2"/>
  <c r="BZ4" i="2"/>
  <c r="BY7" i="2"/>
  <c r="BY9" i="2"/>
  <c r="BY10" i="2"/>
  <c r="BY14" i="2"/>
  <c r="BY17" i="2"/>
  <c r="BY4" i="2"/>
  <c r="BX5" i="2"/>
  <c r="CC5" i="2" s="1"/>
  <c r="BX6" i="2"/>
  <c r="CC6" i="2" s="1"/>
  <c r="BX7" i="2"/>
  <c r="CC7" i="2" s="1"/>
  <c r="BX8" i="2"/>
  <c r="CC8" i="2" s="1"/>
  <c r="BX9" i="2"/>
  <c r="CC9" i="2" s="1"/>
  <c r="BX10" i="2"/>
  <c r="CC10" i="2" s="1"/>
  <c r="BX11" i="2"/>
  <c r="BX12" i="2"/>
  <c r="BX13" i="2"/>
  <c r="BX14" i="2"/>
  <c r="CC14" i="2" s="1"/>
  <c r="BX15" i="2"/>
  <c r="BX16" i="2"/>
  <c r="CC16" i="2" s="1"/>
  <c r="BX17" i="2"/>
  <c r="CC17" i="2" s="1"/>
  <c r="BX4" i="2"/>
  <c r="CC4" i="2" s="1"/>
  <c r="AO12" i="2"/>
  <c r="AO21" i="2"/>
  <c r="AN5" i="2"/>
  <c r="AN6" i="2"/>
  <c r="AN7" i="2"/>
  <c r="AN8" i="2"/>
  <c r="AN9" i="2"/>
  <c r="AN10" i="2"/>
  <c r="AN11" i="2"/>
  <c r="AN12" i="2"/>
  <c r="AN13" i="2"/>
  <c r="AN14" i="2"/>
  <c r="AN15" i="2"/>
  <c r="AN16" i="2"/>
  <c r="AN4" i="2"/>
  <c r="CB5" i="2"/>
  <c r="CB6" i="2"/>
  <c r="CB7" i="2"/>
  <c r="CB8" i="2"/>
  <c r="CB9" i="2"/>
  <c r="CB10" i="2"/>
  <c r="CB11" i="2"/>
  <c r="CB12" i="2"/>
  <c r="CB13" i="2"/>
  <c r="CB14" i="2"/>
  <c r="CB15" i="2"/>
  <c r="CB16" i="2"/>
  <c r="CB17" i="2"/>
  <c r="CB4" i="2"/>
  <c r="AX9" i="2"/>
  <c r="AX13" i="2"/>
  <c r="BY13" i="2" s="1"/>
  <c r="AX15" i="2"/>
  <c r="BY15" i="2" s="1"/>
  <c r="AX5" i="2"/>
  <c r="BY5" i="2" s="1"/>
  <c r="AX6" i="2"/>
  <c r="BY6" i="2" s="1"/>
  <c r="AX4" i="2"/>
  <c r="AX12" i="2"/>
  <c r="BY12" i="2" s="1"/>
  <c r="AX7" i="2"/>
  <c r="AX14" i="2"/>
  <c r="AX11" i="2"/>
  <c r="BY11" i="2" s="1"/>
  <c r="AX10" i="2"/>
  <c r="AX17" i="2"/>
  <c r="AX16" i="2"/>
  <c r="BY16" i="2" s="1"/>
  <c r="AX8" i="2"/>
  <c r="BY8" i="2" s="1"/>
  <c r="CC15" i="2" l="1"/>
  <c r="CC12" i="2"/>
  <c r="CC13" i="2"/>
  <c r="CC11" i="2"/>
  <c r="R57" i="1"/>
  <c r="U58" i="1"/>
  <c r="AF67" i="1"/>
  <c r="AC66" i="1"/>
  <c r="J11" i="2"/>
  <c r="AK11" i="2" s="1"/>
  <c r="J5" i="2"/>
  <c r="J13" i="2"/>
  <c r="AK13" i="2" s="1"/>
  <c r="J4" i="2"/>
  <c r="AK4" i="2" s="1"/>
  <c r="J9" i="2"/>
  <c r="AK9" i="2" s="1"/>
  <c r="J6" i="2"/>
  <c r="J16" i="2"/>
  <c r="AK16" i="2" s="1"/>
  <c r="J14" i="2"/>
  <c r="AK14" i="2" s="1"/>
  <c r="J7" i="2"/>
  <c r="AK7" i="2" s="1"/>
  <c r="J27" i="2"/>
  <c r="J8" i="2"/>
  <c r="AK8" i="2" s="1"/>
  <c r="J22" i="2"/>
  <c r="AK22" i="2" s="1"/>
  <c r="J20" i="2"/>
  <c r="AK20" i="2" s="1"/>
  <c r="J15" i="2"/>
  <c r="AK15" i="2" s="1"/>
  <c r="AN27" i="2"/>
  <c r="AN22" i="2"/>
  <c r="AN20" i="2"/>
  <c r="AM11" i="2"/>
  <c r="AM5" i="2"/>
  <c r="AM13" i="2"/>
  <c r="AM4" i="2"/>
  <c r="AM9" i="2"/>
  <c r="AM6" i="2"/>
  <c r="AM16" i="2"/>
  <c r="AM14" i="2"/>
  <c r="AM7" i="2"/>
  <c r="AM27" i="2"/>
  <c r="AM8" i="2"/>
  <c r="AM22" i="2"/>
  <c r="AM20" i="2"/>
  <c r="AM15" i="2"/>
  <c r="AL27" i="2"/>
  <c r="AL11" i="2"/>
  <c r="AL5" i="2"/>
  <c r="AL13" i="2"/>
  <c r="AL4" i="2"/>
  <c r="AL9" i="2"/>
  <c r="AL6" i="2"/>
  <c r="AL16" i="2"/>
  <c r="AL14" i="2"/>
  <c r="AL7" i="2"/>
  <c r="AL8" i="2"/>
  <c r="AL22" i="2"/>
  <c r="AL20" i="2"/>
  <c r="AL15" i="2"/>
  <c r="AJ11" i="2"/>
  <c r="AO11" i="2" s="1"/>
  <c r="AJ5" i="2"/>
  <c r="AJ13" i="2"/>
  <c r="AO13" i="2" s="1"/>
  <c r="AJ4" i="2"/>
  <c r="AJ9" i="2"/>
  <c r="AJ6" i="2"/>
  <c r="AJ16" i="2"/>
  <c r="AJ14" i="2"/>
  <c r="AJ7" i="2"/>
  <c r="AO7" i="2" s="1"/>
  <c r="AJ27" i="2"/>
  <c r="AJ8" i="2"/>
  <c r="AO8" i="2" s="1"/>
  <c r="AJ22" i="2"/>
  <c r="AJ20" i="2"/>
  <c r="AJ15" i="2"/>
  <c r="AO14" i="2" l="1"/>
  <c r="AO16" i="2"/>
  <c r="AO27" i="2"/>
  <c r="AO15" i="2"/>
  <c r="AO20" i="2"/>
  <c r="AO6" i="2"/>
  <c r="AO9" i="2"/>
  <c r="AO22" i="2"/>
  <c r="AO4" i="2"/>
  <c r="AK27" i="2"/>
  <c r="AK6" i="2"/>
  <c r="AK5" i="2"/>
  <c r="AO5" i="2" s="1"/>
  <c r="O45" i="1" l="1"/>
  <c r="Q45" i="1" s="1"/>
  <c r="U45" i="1" s="1"/>
  <c r="O46" i="1"/>
  <c r="Q46" i="1" s="1"/>
  <c r="U46" i="1" s="1"/>
  <c r="O48" i="1"/>
  <c r="Q48" i="1" s="1"/>
  <c r="U48" i="1" s="1"/>
  <c r="O49" i="1"/>
  <c r="Q49" i="1" s="1"/>
  <c r="U49" i="1" s="1"/>
  <c r="O50" i="1"/>
  <c r="Q50" i="1" s="1"/>
  <c r="U50" i="1" s="1"/>
  <c r="O51" i="1"/>
  <c r="Q51" i="1" s="1"/>
  <c r="U51" i="1" s="1"/>
  <c r="O52" i="1"/>
  <c r="Q52" i="1" s="1"/>
  <c r="U52" i="1" s="1"/>
  <c r="O53" i="1"/>
  <c r="Q53" i="1" s="1"/>
  <c r="U53" i="1" s="1"/>
  <c r="O34" i="1"/>
  <c r="Q34" i="1" s="1"/>
  <c r="U34" i="1" s="1"/>
  <c r="O35" i="1"/>
  <c r="Q35" i="1" s="1"/>
  <c r="U35" i="1" s="1"/>
  <c r="O36" i="1"/>
  <c r="Q36" i="1" s="1"/>
  <c r="U36" i="1" s="1"/>
  <c r="O37" i="1"/>
  <c r="Q37" i="1" s="1"/>
  <c r="U37" i="1" s="1"/>
  <c r="O38" i="1"/>
  <c r="Q38" i="1" s="1"/>
  <c r="U38" i="1" s="1"/>
  <c r="O39" i="1"/>
  <c r="Q39" i="1" s="1"/>
  <c r="U39" i="1" s="1"/>
  <c r="O40" i="1"/>
  <c r="Q40" i="1" s="1"/>
  <c r="U40" i="1" s="1"/>
  <c r="O41" i="1"/>
  <c r="Q41" i="1" s="1"/>
  <c r="U41" i="1" s="1"/>
  <c r="O42" i="1"/>
  <c r="Q42" i="1" s="1"/>
  <c r="U42" i="1" s="1"/>
  <c r="O43" i="1"/>
  <c r="Q43" i="1" s="1"/>
  <c r="U43" i="1" s="1"/>
  <c r="O44" i="1"/>
  <c r="Q44" i="1" s="1"/>
  <c r="U44" i="1" s="1"/>
  <c r="O33" i="1"/>
  <c r="Q33" i="1" s="1"/>
  <c r="U33" i="1" s="1"/>
  <c r="O32" i="1"/>
  <c r="Q32" i="1" s="1"/>
  <c r="U32" i="1" s="1"/>
  <c r="O31" i="1"/>
  <c r="Q31" i="1" s="1"/>
  <c r="U31" i="1" s="1"/>
  <c r="O30" i="1"/>
  <c r="Q30" i="1" s="1"/>
  <c r="U30" i="1" s="1"/>
  <c r="O29" i="1"/>
  <c r="Q29" i="1" s="1"/>
  <c r="U29" i="1" s="1"/>
  <c r="O28" i="1"/>
  <c r="Q28" i="1" s="1"/>
  <c r="U28" i="1" s="1"/>
  <c r="O27" i="1"/>
  <c r="Q27" i="1" s="1"/>
  <c r="U27" i="1" s="1"/>
  <c r="O26" i="1"/>
  <c r="Q26" i="1" s="1"/>
  <c r="U26" i="1" s="1"/>
  <c r="O25" i="1"/>
  <c r="Q25" i="1" s="1"/>
  <c r="U25" i="1" s="1"/>
  <c r="O24" i="1"/>
  <c r="Q24" i="1" s="1"/>
  <c r="U24" i="1" s="1"/>
  <c r="O22" i="1"/>
  <c r="Q22" i="1" s="1"/>
  <c r="U22" i="1" s="1"/>
  <c r="O23" i="1"/>
  <c r="Q23" i="1" s="1"/>
  <c r="U23" i="1" s="1"/>
  <c r="O21" i="1"/>
  <c r="Q21" i="1" s="1"/>
  <c r="U21" i="1" s="1"/>
  <c r="O6" i="1"/>
  <c r="Q6" i="1" s="1"/>
  <c r="U6" i="1" s="1"/>
  <c r="O20" i="1"/>
  <c r="Q20" i="1" s="1"/>
  <c r="U20" i="1" s="1"/>
  <c r="O19" i="1"/>
  <c r="Q19" i="1" s="1"/>
  <c r="U19" i="1" s="1"/>
  <c r="O18" i="1"/>
  <c r="Q18" i="1" s="1"/>
  <c r="U18" i="1" s="1"/>
  <c r="O17" i="1"/>
  <c r="Q17" i="1" s="1"/>
  <c r="U17" i="1" s="1"/>
  <c r="O16" i="1"/>
  <c r="Q16" i="1" s="1"/>
  <c r="U16" i="1" s="1"/>
  <c r="O15" i="1"/>
  <c r="Q15" i="1" s="1"/>
  <c r="U15" i="1" s="1"/>
  <c r="O14" i="1"/>
  <c r="Q14" i="1" s="1"/>
  <c r="U14" i="1" s="1"/>
  <c r="O13" i="1"/>
  <c r="Q13" i="1" s="1"/>
  <c r="U13" i="1" s="1"/>
  <c r="O12" i="1"/>
  <c r="Q12" i="1" s="1"/>
  <c r="U12" i="1" s="1"/>
  <c r="O11" i="1"/>
  <c r="Q11" i="1" s="1"/>
  <c r="U11" i="1" s="1"/>
  <c r="O10" i="1"/>
  <c r="Q10" i="1" s="1"/>
  <c r="U10" i="1" s="1"/>
  <c r="O9" i="1"/>
  <c r="Q9" i="1" s="1"/>
  <c r="U9" i="1" s="1"/>
  <c r="O8" i="1"/>
  <c r="Q8" i="1" s="1"/>
  <c r="U8" i="1" s="1"/>
  <c r="O7" i="1"/>
  <c r="Q7" i="1" s="1"/>
  <c r="U7" i="1" s="1"/>
  <c r="D7" i="1"/>
  <c r="F7" i="1" s="1"/>
  <c r="D8" i="1"/>
  <c r="F8" i="1" s="1"/>
  <c r="D9" i="1"/>
  <c r="F9" i="1" s="1"/>
  <c r="D10" i="1"/>
  <c r="F10" i="1" s="1"/>
  <c r="D11" i="1"/>
  <c r="F11" i="1" s="1"/>
  <c r="D12" i="1"/>
  <c r="F12" i="1" s="1"/>
  <c r="D13" i="1"/>
  <c r="F13" i="1" s="1"/>
  <c r="D14" i="1"/>
  <c r="F14" i="1" s="1"/>
  <c r="D15" i="1"/>
  <c r="F15" i="1" s="1"/>
  <c r="D16" i="1"/>
  <c r="F16" i="1" s="1"/>
  <c r="D17" i="1"/>
  <c r="F17" i="1" s="1"/>
  <c r="D18" i="1"/>
  <c r="F18" i="1" s="1"/>
  <c r="D19" i="1"/>
  <c r="F19" i="1" s="1"/>
  <c r="D20" i="1"/>
  <c r="F20" i="1" s="1"/>
  <c r="D6" i="1"/>
  <c r="I7" i="1"/>
  <c r="I6" i="1"/>
  <c r="I20" i="1"/>
  <c r="I9" i="1"/>
  <c r="I14" i="1"/>
  <c r="I17" i="1"/>
  <c r="I13" i="1"/>
  <c r="I18" i="1"/>
  <c r="I19" i="1"/>
  <c r="I12" i="1"/>
  <c r="I16" i="1"/>
  <c r="I11" i="1"/>
  <c r="I8" i="1"/>
  <c r="I10" i="1"/>
  <c r="I15" i="1"/>
  <c r="F6" i="1" l="1"/>
  <c r="J6" i="1" s="1"/>
  <c r="U55" i="1"/>
  <c r="H25" i="1"/>
  <c r="R58" i="1"/>
  <c r="H23" i="1"/>
  <c r="H22" i="1"/>
  <c r="J9" i="1"/>
  <c r="J13" i="1"/>
  <c r="J16" i="1"/>
  <c r="J17" i="1"/>
  <c r="J19" i="1"/>
  <c r="J20" i="1"/>
  <c r="H24" i="1" l="1"/>
  <c r="J15" i="1"/>
  <c r="J11" i="1"/>
  <c r="J12" i="1"/>
  <c r="J7" i="1"/>
  <c r="J18" i="1"/>
  <c r="J14" i="1"/>
  <c r="J10" i="1"/>
  <c r="J8" i="1"/>
  <c r="J22" i="1" l="1"/>
</calcChain>
</file>

<file path=xl/sharedStrings.xml><?xml version="1.0" encoding="utf-8"?>
<sst xmlns="http://schemas.openxmlformats.org/spreadsheetml/2006/main" count="1402" uniqueCount="235">
  <si>
    <t>Players</t>
  </si>
  <si>
    <t>Salah</t>
  </si>
  <si>
    <t>Ronaldo</t>
  </si>
  <si>
    <t>Antonio</t>
  </si>
  <si>
    <t>Armstrong</t>
  </si>
  <si>
    <t>Jota</t>
  </si>
  <si>
    <t>Gray</t>
  </si>
  <si>
    <t>Allan</t>
  </si>
  <si>
    <t>Torres</t>
  </si>
  <si>
    <t>TAA</t>
  </si>
  <si>
    <t>Livramento</t>
  </si>
  <si>
    <t>Duffy</t>
  </si>
  <si>
    <t>Ayling</t>
  </si>
  <si>
    <t>Semedo</t>
  </si>
  <si>
    <t>Sanchez</t>
  </si>
  <si>
    <t>Foster</t>
  </si>
  <si>
    <t>Gameweek 6</t>
  </si>
  <si>
    <t>Mini League</t>
  </si>
  <si>
    <t>Ownership</t>
  </si>
  <si>
    <t>No of Managers Captained</t>
  </si>
  <si>
    <t>No of Managers Captained(%)</t>
  </si>
  <si>
    <t>Team's Multiplier</t>
  </si>
  <si>
    <t>Points</t>
  </si>
  <si>
    <t>Points +/-</t>
  </si>
  <si>
    <t>Number of managers started</t>
  </si>
  <si>
    <t>EO</t>
  </si>
  <si>
    <t>Gameweek 7</t>
  </si>
  <si>
    <t>Raphinha</t>
  </si>
  <si>
    <t>Color</t>
  </si>
  <si>
    <t>Total Captain pts</t>
  </si>
  <si>
    <t>Total Score Without including captain</t>
  </si>
  <si>
    <t>Total Score</t>
  </si>
  <si>
    <t>Rudiger</t>
  </si>
  <si>
    <t>Bench Score</t>
  </si>
  <si>
    <t>Lukaku</t>
  </si>
  <si>
    <t>Kane</t>
  </si>
  <si>
    <t>Greenwood</t>
  </si>
  <si>
    <t>Benrahma</t>
  </si>
  <si>
    <t>Marcal</t>
  </si>
  <si>
    <t>White</t>
  </si>
  <si>
    <t>Shaw</t>
  </si>
  <si>
    <t>Toney</t>
  </si>
  <si>
    <t>Cancelo</t>
  </si>
  <si>
    <t>Sarr</t>
  </si>
  <si>
    <t>Tierney</t>
  </si>
  <si>
    <t>Taa</t>
  </si>
  <si>
    <t>Veltman</t>
  </si>
  <si>
    <t>Ramsdale</t>
  </si>
  <si>
    <t>Alonso</t>
  </si>
  <si>
    <t xml:space="preserve">Coady </t>
  </si>
  <si>
    <t>Saka</t>
  </si>
  <si>
    <t>Martinez</t>
  </si>
  <si>
    <t>Cresswell</t>
  </si>
  <si>
    <t>Targett</t>
  </si>
  <si>
    <t>Amartey</t>
  </si>
  <si>
    <t>Soucek</t>
  </si>
  <si>
    <t>Jesus</t>
  </si>
  <si>
    <t>Christensen</t>
  </si>
  <si>
    <t>Gallagher</t>
  </si>
  <si>
    <t>Schmeichel</t>
  </si>
  <si>
    <t>Dias</t>
  </si>
  <si>
    <t>Phillips</t>
  </si>
  <si>
    <t>Ederson</t>
  </si>
  <si>
    <t>CL</t>
  </si>
  <si>
    <t>Pereira</t>
  </si>
  <si>
    <t>Ings</t>
  </si>
  <si>
    <t>Total Points +/-</t>
  </si>
  <si>
    <t>Chelsea</t>
  </si>
  <si>
    <t>Gameweek 1</t>
  </si>
  <si>
    <t>Player Names</t>
  </si>
  <si>
    <t>Jorginho</t>
  </si>
  <si>
    <t>Thiago Silva</t>
  </si>
  <si>
    <t>Trevoh Chalobah</t>
  </si>
  <si>
    <t>Callum Hudson-Odoi</t>
  </si>
  <si>
    <t>Ruben Loftus-Cheek</t>
  </si>
  <si>
    <t>Kepa Arrizabalaga</t>
  </si>
  <si>
    <t>Saul Niguez</t>
  </si>
  <si>
    <t>Ross Barkley</t>
  </si>
  <si>
    <t>Emerson Palmieri</t>
  </si>
  <si>
    <t>Position</t>
  </si>
  <si>
    <t>Goals</t>
  </si>
  <si>
    <t>CS</t>
  </si>
  <si>
    <t>D</t>
  </si>
  <si>
    <t>C</t>
  </si>
  <si>
    <t>A</t>
  </si>
  <si>
    <t>R</t>
  </si>
  <si>
    <t>M</t>
  </si>
  <si>
    <t>F</t>
  </si>
  <si>
    <t>GK</t>
  </si>
  <si>
    <t>TS</t>
  </si>
  <si>
    <t>PS</t>
  </si>
  <si>
    <t>PM</t>
  </si>
  <si>
    <t>YC</t>
  </si>
  <si>
    <t>RC</t>
  </si>
  <si>
    <t>OG</t>
  </si>
  <si>
    <t>BPS</t>
  </si>
  <si>
    <t>CROSS</t>
  </si>
  <si>
    <t>BCC</t>
  </si>
  <si>
    <t>B</t>
  </si>
  <si>
    <t>I</t>
  </si>
  <si>
    <t>KP</t>
  </si>
  <si>
    <t>Drib.</t>
  </si>
  <si>
    <t>WG</t>
  </si>
  <si>
    <t>P(70-79)</t>
  </si>
  <si>
    <t>P(80-89)</t>
  </si>
  <si>
    <t>P(90+)</t>
  </si>
  <si>
    <t>PC</t>
  </si>
  <si>
    <t>BCC Missed</t>
  </si>
  <si>
    <t>Being Tackled</t>
  </si>
  <si>
    <t>FC</t>
  </si>
  <si>
    <t>OFF.</t>
  </si>
  <si>
    <t>SH. OFF TARG.</t>
  </si>
  <si>
    <t>E(G)</t>
  </si>
  <si>
    <t>E(SH.)</t>
  </si>
  <si>
    <t>MINS</t>
  </si>
  <si>
    <t>GoalsBPS</t>
  </si>
  <si>
    <t>BCI(BPS)</t>
  </si>
  <si>
    <t>CS BPS</t>
  </si>
  <si>
    <t>R BPS</t>
  </si>
  <si>
    <t>Pass BPS</t>
  </si>
  <si>
    <t>Tackles(.net)</t>
  </si>
  <si>
    <t>Total Pass</t>
  </si>
  <si>
    <t>Player conceded</t>
  </si>
  <si>
    <t>Gameweek 2</t>
  </si>
  <si>
    <t>Azpilicueta</t>
  </si>
  <si>
    <t>Mendy</t>
  </si>
  <si>
    <t>James</t>
  </si>
  <si>
    <t>Havertz</t>
  </si>
  <si>
    <t>Mount</t>
  </si>
  <si>
    <t>Kovacic</t>
  </si>
  <si>
    <t>Kante</t>
  </si>
  <si>
    <t>Ziyech</t>
  </si>
  <si>
    <t>Werner</t>
  </si>
  <si>
    <t>Chilwell</t>
  </si>
  <si>
    <t>Pulisic</t>
  </si>
  <si>
    <t>Gameweek 8</t>
  </si>
  <si>
    <t>Son</t>
  </si>
  <si>
    <t>Maupay</t>
  </si>
  <si>
    <t>Laporte</t>
  </si>
  <si>
    <t>Townsend</t>
  </si>
  <si>
    <t>Hwang</t>
  </si>
  <si>
    <t>Bissouma</t>
  </si>
  <si>
    <t>Rowe</t>
  </si>
  <si>
    <t>Walker</t>
  </si>
  <si>
    <t>Foden</t>
  </si>
  <si>
    <t>Bernando</t>
  </si>
  <si>
    <t>Jimenez</t>
  </si>
  <si>
    <t>Club</t>
  </si>
  <si>
    <t>WHU</t>
  </si>
  <si>
    <t>SOU</t>
  </si>
  <si>
    <t>LIV</t>
  </si>
  <si>
    <t>LEE</t>
  </si>
  <si>
    <t>EVE</t>
  </si>
  <si>
    <t>MUN</t>
  </si>
  <si>
    <t>TOT</t>
  </si>
  <si>
    <t>CHE</t>
  </si>
  <si>
    <t>BHA</t>
  </si>
  <si>
    <t>MCI</t>
  </si>
  <si>
    <t>WAT</t>
  </si>
  <si>
    <t>WOL</t>
  </si>
  <si>
    <t>ARS</t>
  </si>
  <si>
    <t>BRE</t>
  </si>
  <si>
    <t>AVL</t>
  </si>
  <si>
    <t>LEI</t>
  </si>
  <si>
    <t>CRY</t>
  </si>
  <si>
    <t>Tsimikis</t>
  </si>
  <si>
    <t>Gameweek 9</t>
  </si>
  <si>
    <t>KDB</t>
  </si>
  <si>
    <t>Apzi</t>
  </si>
  <si>
    <t>Auba</t>
  </si>
  <si>
    <t>Williams</t>
  </si>
  <si>
    <t>NOR</t>
  </si>
  <si>
    <t>Vardy</t>
  </si>
  <si>
    <t>Sissoko</t>
  </si>
  <si>
    <t>Hits</t>
  </si>
  <si>
    <t>Total Score exculding my team players</t>
  </si>
  <si>
    <t>Total Score including only my Players</t>
  </si>
  <si>
    <t>Live Rank</t>
  </si>
  <si>
    <t>Old Rank</t>
  </si>
  <si>
    <t>Team</t>
  </si>
  <si>
    <t>Total</t>
  </si>
  <si>
    <t>Gameweek Points</t>
  </si>
  <si>
    <t>Captain</t>
  </si>
  <si>
    <t>Sommer Signings FC</t>
  </si>
  <si>
    <t>The little fellas</t>
  </si>
  <si>
    <t>Breach for the stars</t>
  </si>
  <si>
    <t>Eisha_Action</t>
  </si>
  <si>
    <t>NityaMyLove</t>
  </si>
  <si>
    <t>SeemLess FC</t>
  </si>
  <si>
    <t>A Quekstion of sports</t>
  </si>
  <si>
    <t>Tuchel for school</t>
  </si>
  <si>
    <t>Chris' Team</t>
  </si>
  <si>
    <t>Achivements</t>
  </si>
  <si>
    <t>Chip Used</t>
  </si>
  <si>
    <t>None</t>
  </si>
  <si>
    <t>Broken Bench</t>
  </si>
  <si>
    <t>Locked/Unlocked</t>
  </si>
  <si>
    <t>Bottom Heavy</t>
  </si>
  <si>
    <t>Lost Boys</t>
  </si>
  <si>
    <t>Triple Trouble</t>
  </si>
  <si>
    <t>100 club</t>
  </si>
  <si>
    <t>Triple Whammy</t>
  </si>
  <si>
    <t>Gameweek 10</t>
  </si>
  <si>
    <t>Jansson</t>
  </si>
  <si>
    <t>McGovern</t>
  </si>
  <si>
    <t>Tielemens</t>
  </si>
  <si>
    <t>1st</t>
  </si>
  <si>
    <t>2nd</t>
  </si>
  <si>
    <t>3rd</t>
  </si>
  <si>
    <t>4th</t>
  </si>
  <si>
    <t>Improvement</t>
  </si>
  <si>
    <t>HOW FAR AHEAD OF YOU</t>
  </si>
  <si>
    <t>A. Armstrong</t>
  </si>
  <si>
    <t>5th</t>
  </si>
  <si>
    <t>6th</t>
  </si>
  <si>
    <t>7th</t>
  </si>
  <si>
    <t>8th</t>
  </si>
  <si>
    <t>9th</t>
  </si>
  <si>
    <t>Gameweek 11</t>
  </si>
  <si>
    <t>Gilmour</t>
  </si>
  <si>
    <t>Ratio</t>
  </si>
  <si>
    <t>Gameweek 12</t>
  </si>
  <si>
    <t>Steele</t>
  </si>
  <si>
    <t>Mbeumo</t>
  </si>
  <si>
    <t>Fernandez</t>
  </si>
  <si>
    <t>Gameweek score</t>
  </si>
  <si>
    <t>Gameweek 13</t>
  </si>
  <si>
    <t>Zaha</t>
  </si>
  <si>
    <t>Tsimikas</t>
  </si>
  <si>
    <t>-</t>
  </si>
  <si>
    <t>Barnes</t>
  </si>
  <si>
    <t>King</t>
  </si>
  <si>
    <t>Gameweek 14</t>
  </si>
  <si>
    <t>Wilson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</si>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</sst>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65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39">
    <xf numFmtId="0" fontId="0" fillId="0" borderId="0" xfId="0"/>
    <xf numFmtId="164" fontId="0" fillId="0" borderId="0" xfId="0" applyNumberFormat="1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164" fontId="0" fillId="0" borderId="0" xfId="0" applyNumberFormat="1" applyFill="1"/>
    <xf numFmtId="2" fontId="0" fillId="0" borderId="0" xfId="1" applyNumberFormat="1" applyFont="1" applyFill="1"/>
    <xf numFmtId="1" fontId="0" fillId="0" borderId="0" xfId="0" applyNumberFormat="1" applyFill="1"/>
    <xf numFmtId="1" fontId="0" fillId="0" borderId="0" xfId="0" applyNumberFormat="1"/>
    <xf numFmtId="1" fontId="2" fillId="0" borderId="0" xfId="2" applyNumberFormat="1" applyFill="1"/>
    <xf numFmtId="0" fontId="2" fillId="0" borderId="0" xfId="2"/>
    <xf numFmtId="0" fontId="0" fillId="0" borderId="0" xfId="0" applyFont="1" applyAlignment="1">
      <alignment horizontal="left" vertic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0" borderId="0" xfId="0" applyFill="1" applyAlignment="1">
      <alignment horizontal="center"/>
    </xf>
    <xf numFmtId="0" fontId="0" fillId="5" borderId="0" xfId="0" applyFill="1"/>
    <xf numFmtId="0" fontId="3" fillId="0" borderId="0" xfId="0" applyFont="1" applyFill="1" applyAlignment="1">
      <alignment horizontal="center"/>
    </xf>
    <xf numFmtId="0" fontId="0" fillId="0" borderId="0" xfId="0" applyFont="1" applyFill="1" applyAlignment="1">
      <alignment horizontal="left" vertical="center"/>
    </xf>
    <xf numFmtId="0" fontId="0" fillId="5" borderId="0" xfId="0" applyFill="1" applyAlignment="1">
      <alignment horizontal="center"/>
    </xf>
    <xf numFmtId="0" fontId="0" fillId="6" borderId="0" xfId="0" applyFill="1"/>
    <xf numFmtId="0" fontId="0" fillId="4" borderId="0" xfId="0" applyFill="1" applyAlignment="1">
      <alignment horizontal="left"/>
    </xf>
    <xf numFmtId="0" fontId="0" fillId="2" borderId="0" xfId="0" applyFill="1" applyAlignment="1">
      <alignment horizontal="left"/>
    </xf>
    <xf numFmtId="0" fontId="0" fillId="7" borderId="0" xfId="0" applyFill="1"/>
    <xf numFmtId="0" fontId="0" fillId="8" borderId="0" xfId="0" applyFill="1"/>
    <xf numFmtId="0" fontId="0" fillId="0" borderId="0" xfId="0" applyAlignment="1">
      <alignment wrapText="1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wrapText="1"/>
    </xf>
    <xf numFmtId="0" fontId="6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0" fillId="10" borderId="0" xfId="0" applyFill="1"/>
    <xf numFmtId="0" fontId="6" fillId="11" borderId="0" xfId="0" applyFont="1" applyFill="1"/>
    <xf numFmtId="0" fontId="0" fillId="11" borderId="0" xfId="0" applyFill="1"/>
    <xf numFmtId="0" fontId="0" fillId="12" borderId="1" xfId="0" applyFill="1" applyBorder="1"/>
    <xf numFmtId="0" fontId="0" fillId="0" borderId="0" xfId="0" applyAlignment="1"/>
    <xf numFmtId="0" fontId="0" fillId="0" borderId="0" xfId="0" applyFill="1" applyBorder="1"/>
    <xf numFmtId="0" fontId="0" fillId="13" borderId="0" xfId="0" applyFill="1" applyAlignment="1"/>
  </cellXfs>
  <cellStyles count="3">
    <cellStyle name="Normal" xfId="0" builtinId="0"/>
    <cellStyle name="Per cent" xfId="1" builtinId="5"/>
    <cellStyle name="Warning Text" xfId="2" builtinId="11"/>
  </cellStyles>
  <dxfs count="11">
    <dxf>
      <fill>
        <patternFill patternType="solid">
          <fgColor rgb="FFFFCDA8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00B0F0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66FF"/>
      <color rgb="FF66FFCC"/>
      <color rgb="FFFFCC65"/>
      <color rgb="FF996600"/>
      <color rgb="FF99FF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Red Orange">
      <a:dk1>
        <a:sysClr val="windowText" lastClr="000000"/>
      </a:dk1>
      <a:lt1>
        <a:sysClr val="window" lastClr="FFFFFF"/>
      </a:lt1>
      <a:dk2>
        <a:srgbClr val="505046"/>
      </a:dk2>
      <a:lt2>
        <a:srgbClr val="EEECE1"/>
      </a:lt2>
      <a:accent1>
        <a:srgbClr val="E84C22"/>
      </a:accent1>
      <a:accent2>
        <a:srgbClr val="FFBD47"/>
      </a:accent2>
      <a:accent3>
        <a:srgbClr val="B64926"/>
      </a:accent3>
      <a:accent4>
        <a:srgbClr val="FF8427"/>
      </a:accent4>
      <a:accent5>
        <a:srgbClr val="CC9900"/>
      </a:accent5>
      <a:accent6>
        <a:srgbClr val="B22600"/>
      </a:accent6>
      <a:hlink>
        <a:srgbClr val="CC9900"/>
      </a:hlink>
      <a:folHlink>
        <a:srgbClr val="6666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CT101"/>
  <sheetViews>
    <sheetView tabSelected="1" topLeftCell="CK69" zoomScale="136" zoomScaleNormal="100" workbookViewId="0">
      <selection activeCell="CO86" sqref="CO86"/>
    </sheetView>
  </sheetViews>
  <sheetFormatPr baseColWidth="10" defaultColWidth="8.83203125" defaultRowHeight="15" x14ac:dyDescent="0.2"/>
  <cols>
    <col min="1" max="1" width="12.5" bestFit="1" customWidth="1"/>
    <col min="2" max="2" width="10.6640625" bestFit="1" customWidth="1"/>
    <col min="3" max="3" width="24.6640625" bestFit="1" customWidth="1"/>
    <col min="4" max="4" width="27.83203125" bestFit="1" customWidth="1"/>
    <col min="5" max="5" width="27.83203125" customWidth="1"/>
    <col min="7" max="7" width="34.6640625" bestFit="1" customWidth="1"/>
    <col min="9" max="9" width="13.5" style="3" bestFit="1" customWidth="1"/>
    <col min="12" max="12" width="16.83203125" bestFit="1" customWidth="1"/>
    <col min="13" max="13" width="10.6640625" bestFit="1" customWidth="1"/>
    <col min="14" max="14" width="24.6640625" bestFit="1" customWidth="1"/>
    <col min="15" max="15" width="27.83203125" bestFit="1" customWidth="1"/>
    <col min="16" max="16" width="26.83203125" bestFit="1" customWidth="1"/>
    <col min="17" max="19" width="26.83203125" customWidth="1"/>
    <col min="20" max="20" width="18" bestFit="1" customWidth="1"/>
    <col min="23" max="23" width="12.5" bestFit="1" customWidth="1"/>
    <col min="24" max="24" width="11.1640625" bestFit="1" customWidth="1"/>
    <col min="25" max="25" width="25.83203125" bestFit="1" customWidth="1"/>
    <col min="26" max="26" width="28.6640625" bestFit="1" customWidth="1"/>
    <col min="27" max="27" width="27.5" bestFit="1" customWidth="1"/>
    <col min="28" max="28" width="36.6640625" bestFit="1" customWidth="1"/>
    <col min="29" max="29" width="17.5" bestFit="1" customWidth="1"/>
    <col min="31" max="31" width="15.33203125" bestFit="1" customWidth="1"/>
    <col min="34" max="34" width="12.5" bestFit="1" customWidth="1"/>
    <col min="36" max="36" width="25.83203125" bestFit="1" customWidth="1"/>
    <col min="37" max="37" width="28.6640625" bestFit="1" customWidth="1"/>
    <col min="38" max="38" width="27.5" bestFit="1" customWidth="1"/>
    <col min="39" max="39" width="20.5" customWidth="1"/>
    <col min="40" max="40" width="17.5" bestFit="1" customWidth="1"/>
    <col min="41" max="41" width="7" bestFit="1" customWidth="1"/>
    <col min="42" max="42" width="17.1640625" customWidth="1"/>
    <col min="45" max="45" width="13.5" bestFit="1" customWidth="1"/>
    <col min="47" max="47" width="25.83203125" bestFit="1" customWidth="1"/>
    <col min="48" max="48" width="28.6640625" bestFit="1" customWidth="1"/>
    <col min="49" max="49" width="27.5" bestFit="1" customWidth="1"/>
    <col min="50" max="50" width="16.83203125" bestFit="1" customWidth="1"/>
    <col min="51" max="51" width="17.5" bestFit="1" customWidth="1"/>
    <col min="52" max="52" width="7" bestFit="1" customWidth="1"/>
    <col min="53" max="53" width="16.33203125" bestFit="1" customWidth="1"/>
    <col min="54" max="54" width="11.6640625" bestFit="1" customWidth="1"/>
    <col min="56" max="56" width="13.5" bestFit="1" customWidth="1"/>
    <col min="57" max="57" width="11.5" bestFit="1" customWidth="1"/>
    <col min="58" max="58" width="25.83203125" bestFit="1" customWidth="1"/>
    <col min="59" max="59" width="28.6640625" bestFit="1" customWidth="1"/>
    <col min="60" max="60" width="27.5" bestFit="1" customWidth="1"/>
    <col min="61" max="61" width="16.83203125" bestFit="1" customWidth="1"/>
    <col min="62" max="62" width="17.6640625" bestFit="1" customWidth="1"/>
    <col min="63" max="63" width="7.1640625" bestFit="1" customWidth="1"/>
    <col min="64" max="64" width="15.5" bestFit="1" customWidth="1"/>
    <col min="65" max="65" width="10.1640625" bestFit="1" customWidth="1"/>
    <col min="67" max="67" width="11.6640625" bestFit="1" customWidth="1"/>
    <col min="68" max="68" width="18" bestFit="1" customWidth="1"/>
    <col min="69" max="69" width="21" bestFit="1" customWidth="1"/>
    <col min="70" max="70" width="23.5" bestFit="1" customWidth="1"/>
    <col min="71" max="71" width="22.83203125" bestFit="1" customWidth="1"/>
    <col min="72" max="72" width="30.33203125" bestFit="1" customWidth="1"/>
    <col min="73" max="73" width="14.33203125" bestFit="1" customWidth="1"/>
    <col min="74" max="74" width="6" bestFit="1" customWidth="1"/>
    <col min="75" max="75" width="12.5" customWidth="1"/>
    <col min="76" max="76" width="8.33203125" bestFit="1" customWidth="1"/>
    <col min="79" max="79" width="18" bestFit="1" customWidth="1"/>
    <col min="80" max="80" width="21.83203125" bestFit="1" customWidth="1"/>
    <col min="81" max="81" width="28.33203125" bestFit="1" customWidth="1"/>
    <col min="82" max="82" width="27.6640625" bestFit="1" customWidth="1"/>
    <col min="83" max="83" width="24.6640625" customWidth="1"/>
    <col min="84" max="84" width="19.1640625" bestFit="1" customWidth="1"/>
    <col min="85" max="85" width="11" bestFit="1" customWidth="1"/>
    <col min="86" max="86" width="10.33203125" bestFit="1" customWidth="1"/>
    <col min="87" max="87" width="13.33203125" bestFit="1" customWidth="1"/>
    <col min="89" max="89" width="11.6640625" bestFit="1" customWidth="1"/>
    <col min="90" max="90" width="17.1640625" bestFit="1" customWidth="1"/>
    <col min="91" max="91" width="20.83203125" bestFit="1" customWidth="1"/>
    <col min="92" max="92" width="23.5" bestFit="1" customWidth="1"/>
    <col min="93" max="93" width="22.6640625" bestFit="1" customWidth="1"/>
    <col min="94" max="94" width="13.83203125" bestFit="1" customWidth="1"/>
    <col min="95" max="95" width="14.1640625" bestFit="1" customWidth="1"/>
    <col min="96" max="96" width="6" bestFit="1" customWidth="1"/>
    <col min="97" max="97" width="12.5" bestFit="1" customWidth="1"/>
    <col min="98" max="98" width="8.33203125" bestFit="1" customWidth="1"/>
  </cols>
  <sheetData>
    <row r="2" spans="1:98" x14ac:dyDescent="0.2">
      <c r="A2" t="s">
        <v>17</v>
      </c>
    </row>
    <row r="4" spans="1:98" x14ac:dyDescent="0.2">
      <c r="A4" t="s">
        <v>16</v>
      </c>
      <c r="L4" t="s">
        <v>26</v>
      </c>
      <c r="W4" t="s">
        <v>135</v>
      </c>
      <c r="AH4" t="s">
        <v>166</v>
      </c>
      <c r="AS4" t="s">
        <v>202</v>
      </c>
      <c r="BD4" t="s">
        <v>218</v>
      </c>
      <c r="BO4" t="s">
        <v>221</v>
      </c>
      <c r="BZ4" t="s">
        <v>226</v>
      </c>
      <c r="CK4" t="s">
        <v>232</v>
      </c>
    </row>
    <row r="5" spans="1:98" x14ac:dyDescent="0.2">
      <c r="A5" s="3" t="s">
        <v>0</v>
      </c>
      <c r="B5" s="3" t="s">
        <v>18</v>
      </c>
      <c r="C5" s="3" t="s">
        <v>19</v>
      </c>
      <c r="D5" s="3" t="s">
        <v>20</v>
      </c>
      <c r="E5" s="3" t="s">
        <v>24</v>
      </c>
      <c r="F5" s="3" t="s">
        <v>25</v>
      </c>
      <c r="G5" s="3" t="s">
        <v>21</v>
      </c>
      <c r="H5" s="3" t="s">
        <v>22</v>
      </c>
      <c r="I5" s="3" t="s">
        <v>28</v>
      </c>
      <c r="J5" s="3" t="s">
        <v>23</v>
      </c>
      <c r="K5" s="3"/>
      <c r="L5" s="3" t="s">
        <v>0</v>
      </c>
      <c r="M5" s="3" t="s">
        <v>18</v>
      </c>
      <c r="N5" s="3" t="s">
        <v>19</v>
      </c>
      <c r="O5" s="3" t="s">
        <v>20</v>
      </c>
      <c r="P5" s="3" t="s">
        <v>24</v>
      </c>
      <c r="Q5" s="16" t="s">
        <v>25</v>
      </c>
      <c r="R5" s="3" t="s">
        <v>21</v>
      </c>
      <c r="S5" s="3" t="s">
        <v>22</v>
      </c>
      <c r="T5" s="3" t="s">
        <v>28</v>
      </c>
      <c r="U5" s="3" t="s">
        <v>23</v>
      </c>
      <c r="V5" s="3"/>
      <c r="W5" s="16" t="s">
        <v>0</v>
      </c>
      <c r="X5" s="16" t="s">
        <v>147</v>
      </c>
      <c r="Y5" s="16" t="s">
        <v>19</v>
      </c>
      <c r="Z5" s="16" t="s">
        <v>20</v>
      </c>
      <c r="AA5" s="16" t="s">
        <v>24</v>
      </c>
      <c r="AB5" s="16" t="s">
        <v>25</v>
      </c>
      <c r="AC5" s="16" t="s">
        <v>21</v>
      </c>
      <c r="AD5" s="16" t="s">
        <v>22</v>
      </c>
      <c r="AE5" s="16" t="s">
        <v>28</v>
      </c>
      <c r="AF5" s="16" t="s">
        <v>23</v>
      </c>
      <c r="AH5" s="16" t="s">
        <v>0</v>
      </c>
      <c r="AI5" s="16" t="s">
        <v>147</v>
      </c>
      <c r="AJ5" s="16" t="s">
        <v>19</v>
      </c>
      <c r="AK5" s="16" t="s">
        <v>20</v>
      </c>
      <c r="AL5" s="16" t="s">
        <v>24</v>
      </c>
      <c r="AM5" s="16" t="s">
        <v>25</v>
      </c>
      <c r="AN5" s="16" t="s">
        <v>21</v>
      </c>
      <c r="AO5" s="16" t="s">
        <v>22</v>
      </c>
      <c r="AP5" s="16" t="s">
        <v>28</v>
      </c>
      <c r="AQ5" s="16" t="s">
        <v>23</v>
      </c>
      <c r="AS5" s="16" t="s">
        <v>0</v>
      </c>
      <c r="AT5" s="16" t="s">
        <v>147</v>
      </c>
      <c r="AU5" s="16" t="s">
        <v>19</v>
      </c>
      <c r="AV5" s="16" t="s">
        <v>20</v>
      </c>
      <c r="AW5" s="16" t="s">
        <v>24</v>
      </c>
      <c r="AX5" s="16" t="s">
        <v>25</v>
      </c>
      <c r="AY5" s="16" t="s">
        <v>21</v>
      </c>
      <c r="AZ5" s="16" t="s">
        <v>22</v>
      </c>
      <c r="BA5" s="16" t="s">
        <v>28</v>
      </c>
      <c r="BB5" s="16" t="s">
        <v>23</v>
      </c>
      <c r="BD5" s="16" t="s">
        <v>0</v>
      </c>
      <c r="BE5" s="16" t="s">
        <v>147</v>
      </c>
      <c r="BF5" s="16" t="s">
        <v>19</v>
      </c>
      <c r="BG5" s="16" t="s">
        <v>20</v>
      </c>
      <c r="BH5" s="16" t="s">
        <v>24</v>
      </c>
      <c r="BI5" s="16" t="s">
        <v>25</v>
      </c>
      <c r="BJ5" s="16" t="s">
        <v>21</v>
      </c>
      <c r="BK5" s="16" t="s">
        <v>22</v>
      </c>
      <c r="BL5" s="16" t="s">
        <v>28</v>
      </c>
      <c r="BM5" s="16" t="s">
        <v>23</v>
      </c>
      <c r="BO5" s="16" t="s">
        <v>0</v>
      </c>
      <c r="BP5" s="16" t="s">
        <v>147</v>
      </c>
      <c r="BQ5" s="16" t="s">
        <v>19</v>
      </c>
      <c r="BR5" s="16" t="s">
        <v>20</v>
      </c>
      <c r="BS5" s="16" t="s">
        <v>24</v>
      </c>
      <c r="BT5" s="16" t="s">
        <v>25</v>
      </c>
      <c r="BU5" s="16" t="s">
        <v>21</v>
      </c>
      <c r="BV5" s="16" t="s">
        <v>22</v>
      </c>
      <c r="BW5" s="16" t="s">
        <v>28</v>
      </c>
      <c r="BX5" s="16" t="s">
        <v>23</v>
      </c>
      <c r="BZ5" s="16" t="s">
        <v>0</v>
      </c>
      <c r="CA5" s="16" t="s">
        <v>147</v>
      </c>
      <c r="CB5" s="16" t="s">
        <v>19</v>
      </c>
      <c r="CC5" s="16" t="s">
        <v>20</v>
      </c>
      <c r="CD5" s="16" t="s">
        <v>24</v>
      </c>
      <c r="CE5" s="16" t="s">
        <v>25</v>
      </c>
      <c r="CF5" s="16" t="s">
        <v>21</v>
      </c>
      <c r="CG5" s="16" t="s">
        <v>22</v>
      </c>
      <c r="CH5" s="16" t="s">
        <v>28</v>
      </c>
      <c r="CI5" s="16" t="s">
        <v>23</v>
      </c>
      <c r="CK5" s="16" t="s">
        <v>0</v>
      </c>
      <c r="CL5" s="16" t="s">
        <v>147</v>
      </c>
      <c r="CM5" s="16" t="s">
        <v>19</v>
      </c>
      <c r="CN5" s="16" t="s">
        <v>20</v>
      </c>
      <c r="CO5" s="16" t="s">
        <v>24</v>
      </c>
      <c r="CP5" s="16" t="s">
        <v>25</v>
      </c>
      <c r="CQ5" s="16" t="s">
        <v>21</v>
      </c>
      <c r="CR5" s="16" t="s">
        <v>22</v>
      </c>
      <c r="CS5" s="16" t="s">
        <v>28</v>
      </c>
      <c r="CT5" s="16" t="s">
        <v>23</v>
      </c>
    </row>
    <row r="6" spans="1:98" x14ac:dyDescent="0.2">
      <c r="A6" s="5" t="s">
        <v>2</v>
      </c>
      <c r="B6" s="3">
        <v>66.7</v>
      </c>
      <c r="C6" s="3">
        <v>4</v>
      </c>
      <c r="D6" s="6">
        <f>(C6/9)</f>
        <v>0.44444444444444442</v>
      </c>
      <c r="E6" s="6">
        <v>5</v>
      </c>
      <c r="F6" s="6">
        <f>E6/8+D6</f>
        <v>1.0694444444444444</v>
      </c>
      <c r="G6" s="3">
        <v>2</v>
      </c>
      <c r="H6" s="3">
        <v>2</v>
      </c>
      <c r="I6" s="3">
        <f>Color</f>
        <v>0</v>
      </c>
      <c r="J6" s="6">
        <f>(G6-F6)*H6</f>
        <v>1.8611111111111112</v>
      </c>
      <c r="K6" s="6"/>
      <c r="L6" s="5" t="s">
        <v>2</v>
      </c>
      <c r="M6" s="3">
        <v>44.44</v>
      </c>
      <c r="N6" s="3">
        <v>1</v>
      </c>
      <c r="O6" s="7">
        <f t="shared" ref="O6:O53" si="0">(N6/9)</f>
        <v>0.1111111111111111</v>
      </c>
      <c r="P6" s="8">
        <v>3</v>
      </c>
      <c r="Q6" s="6">
        <f t="shared" ref="Q6:Q53" si="1">P6/8+O6</f>
        <v>0.4861111111111111</v>
      </c>
      <c r="R6" s="3">
        <v>2</v>
      </c>
      <c r="S6" s="8">
        <v>1</v>
      </c>
      <c r="T6">
        <f>Get_Color</f>
        <v>33</v>
      </c>
      <c r="U6" s="6">
        <f t="shared" ref="U6:U53" si="2">(R6-Q6)*S6</f>
        <v>1.5138888888888888</v>
      </c>
      <c r="V6" s="6"/>
      <c r="W6" s="2" t="s">
        <v>1</v>
      </c>
      <c r="X6" t="s">
        <v>150</v>
      </c>
      <c r="Y6">
        <v>6</v>
      </c>
      <c r="Z6" s="7">
        <f>(Y6/9)</f>
        <v>0.66666666666666663</v>
      </c>
      <c r="AA6">
        <v>8</v>
      </c>
      <c r="AB6" s="6">
        <f t="shared" ref="AB6:AB37" si="3">AA6/8+Z6</f>
        <v>1.6666666666666665</v>
      </c>
      <c r="AC6">
        <v>1</v>
      </c>
      <c r="AD6" s="8">
        <v>13</v>
      </c>
      <c r="AE6">
        <f>Gameweek_8</f>
        <v>6</v>
      </c>
      <c r="AF6" s="6">
        <f t="shared" ref="AF6:AF37" si="4">(AC6-AB6)*AD6</f>
        <v>-8.6666666666666643</v>
      </c>
      <c r="AH6" s="5" t="s">
        <v>1</v>
      </c>
      <c r="AI6" t="s">
        <v>150</v>
      </c>
      <c r="AJ6">
        <v>6</v>
      </c>
      <c r="AK6" s="7">
        <f t="shared" ref="AK6:AK27" si="5">(AJ6/9)</f>
        <v>0.66666666666666663</v>
      </c>
      <c r="AL6">
        <v>7</v>
      </c>
      <c r="AM6" s="6">
        <f t="shared" ref="AM6:AM37" si="6">AL6/8+AK6</f>
        <v>1.5416666666666665</v>
      </c>
      <c r="AN6">
        <v>2</v>
      </c>
      <c r="AO6">
        <v>24</v>
      </c>
      <c r="AP6">
        <f>Gameweek_9</f>
        <v>33</v>
      </c>
      <c r="AQ6" s="6">
        <f t="shared" ref="AQ6:AQ37" si="7">(AN6-AM6)*AO6</f>
        <v>11.000000000000004</v>
      </c>
      <c r="AS6" s="5" t="s">
        <v>1</v>
      </c>
      <c r="AT6" t="s">
        <v>150</v>
      </c>
      <c r="AU6">
        <v>7</v>
      </c>
      <c r="AV6" s="7">
        <f t="shared" ref="AV6:AV37" si="8">(AU6/9)</f>
        <v>0.77777777777777779</v>
      </c>
      <c r="AW6">
        <v>7</v>
      </c>
      <c r="AX6" s="6">
        <f t="shared" ref="AX6:AX37" si="9">AW6/8+AV6</f>
        <v>1.6527777777777777</v>
      </c>
      <c r="AY6">
        <v>2</v>
      </c>
      <c r="AZ6">
        <v>5</v>
      </c>
      <c r="BA6">
        <f>Gameweek_10</f>
        <v>33</v>
      </c>
      <c r="BB6" s="6">
        <f t="shared" ref="BB6:BB37" si="10">(AY6-AX6)*AZ6</f>
        <v>1.7361111111111116</v>
      </c>
      <c r="BD6" s="5" t="s">
        <v>1</v>
      </c>
      <c r="BE6" t="s">
        <v>150</v>
      </c>
      <c r="BF6">
        <v>7</v>
      </c>
      <c r="BG6" s="7">
        <f t="shared" ref="BG6:BG52" si="11">(BF6/9)</f>
        <v>0.77777777777777779</v>
      </c>
      <c r="BH6">
        <v>7</v>
      </c>
      <c r="BI6" s="6">
        <f t="shared" ref="BI6:BI52" si="12">BH6/8+BG6</f>
        <v>1.6527777777777777</v>
      </c>
      <c r="BJ6">
        <f t="shared" ref="BJ6:BJ52" si="13">VLOOKUP(BL6,BJ$83:BK$87,2)</f>
        <v>2</v>
      </c>
      <c r="BK6">
        <v>5</v>
      </c>
      <c r="BL6">
        <f>Gameweek_11</f>
        <v>33</v>
      </c>
      <c r="BM6" s="6">
        <f t="shared" ref="BM6:BM52" si="14">(BJ6-BI6)*BK6</f>
        <v>1.7361111111111116</v>
      </c>
      <c r="BO6" s="5" t="s">
        <v>1</v>
      </c>
      <c r="BP6" t="s">
        <v>150</v>
      </c>
      <c r="BQ6">
        <v>7</v>
      </c>
      <c r="BR6" s="7">
        <f>(BQ6/9)</f>
        <v>0.77777777777777779</v>
      </c>
      <c r="BS6">
        <v>7</v>
      </c>
      <c r="BT6" s="6">
        <f t="shared" ref="BT6:BT38" si="15">BS6/8+BR6</f>
        <v>1.6527777777777777</v>
      </c>
      <c r="BU6">
        <f>VLOOKUP(BW6,BU$83:BV$87,2)</f>
        <v>2</v>
      </c>
      <c r="BV6">
        <v>8</v>
      </c>
      <c r="BW6">
        <f>Gameweek_12</f>
        <v>33</v>
      </c>
      <c r="BX6" s="6">
        <f t="shared" ref="BX6:BX38" si="16">(BU6-BT6)*BV6</f>
        <v>2.7777777777777786</v>
      </c>
      <c r="BZ6" s="5" t="s">
        <v>1</v>
      </c>
      <c r="CA6" t="s">
        <v>150</v>
      </c>
      <c r="CB6">
        <v>7</v>
      </c>
      <c r="CC6" s="7">
        <f t="shared" ref="CC6:CC37" si="17">(CB6/9)</f>
        <v>0.77777777777777779</v>
      </c>
      <c r="CD6">
        <v>7</v>
      </c>
      <c r="CE6" s="6">
        <f t="shared" ref="CE6:CE37" si="18">CD6/8+CC6</f>
        <v>1.6527777777777777</v>
      </c>
      <c r="CF6">
        <f t="shared" ref="CF6:CF37" si="19">VLOOKUP(CH6,CF$83:CG$87,2)</f>
        <v>2</v>
      </c>
      <c r="CG6">
        <v>6</v>
      </c>
      <c r="CH6">
        <f>Gameweek_13</f>
        <v>33</v>
      </c>
      <c r="CI6" s="6">
        <f t="shared" ref="CI6:CI37" si="20">(CF6-CE6)*CG6</f>
        <v>2.0833333333333339</v>
      </c>
      <c r="CK6" s="5" t="s">
        <v>1</v>
      </c>
      <c r="CL6" t="s">
        <v>150</v>
      </c>
      <c r="CM6">
        <v>7</v>
      </c>
      <c r="CN6" s="7">
        <f t="shared" ref="CN6:CN64" si="21">(CM6/9)</f>
        <v>0.77777777777777779</v>
      </c>
      <c r="CO6">
        <v>7</v>
      </c>
      <c r="CP6" s="6">
        <f t="shared" ref="CP6:CP64" si="22">CO6/8+CN6</f>
        <v>1.6527777777777777</v>
      </c>
      <c r="CQ6">
        <f t="shared" ref="CQ6:CQ64" si="23">VLOOKUP(CS6,CQ$83:CR$87,2)</f>
        <v>2</v>
      </c>
      <c r="CR6">
        <v>0</v>
      </c>
      <c r="CS6">
        <f>Gameweek_13</f>
        <v>33</v>
      </c>
      <c r="CT6" s="6">
        <f t="shared" ref="CT6:CT64" si="24">(CQ6-CP6)*CR6</f>
        <v>0</v>
      </c>
    </row>
    <row r="7" spans="1:98" x14ac:dyDescent="0.2">
      <c r="A7" s="2" t="s">
        <v>3</v>
      </c>
      <c r="B7" s="3">
        <v>77.8</v>
      </c>
      <c r="C7" s="3">
        <v>1</v>
      </c>
      <c r="D7" s="6">
        <f t="shared" ref="D7:D20" si="25">(C7/9)</f>
        <v>0.1111111111111111</v>
      </c>
      <c r="E7" s="6">
        <v>6</v>
      </c>
      <c r="F7" s="6">
        <f t="shared" ref="F7:F20" si="26">E7/8+D7</f>
        <v>0.86111111111111116</v>
      </c>
      <c r="G7" s="3">
        <v>1</v>
      </c>
      <c r="H7" s="3">
        <v>8</v>
      </c>
      <c r="I7" s="3">
        <f>Color</f>
        <v>0</v>
      </c>
      <c r="J7" s="6">
        <f>(G7-F7)*H7</f>
        <v>1.1111111111111107</v>
      </c>
      <c r="K7" s="6"/>
      <c r="L7" s="2" t="s">
        <v>3</v>
      </c>
      <c r="M7" s="3">
        <v>77.8</v>
      </c>
      <c r="N7" s="3">
        <v>0</v>
      </c>
      <c r="O7" s="7">
        <f t="shared" si="0"/>
        <v>0</v>
      </c>
      <c r="P7" s="8">
        <v>6</v>
      </c>
      <c r="Q7" s="6">
        <f t="shared" si="1"/>
        <v>0.75</v>
      </c>
      <c r="R7" s="3">
        <v>1</v>
      </c>
      <c r="S7" s="8">
        <v>2</v>
      </c>
      <c r="T7">
        <f>Get_Color</f>
        <v>6</v>
      </c>
      <c r="U7" s="6">
        <f t="shared" si="2"/>
        <v>0.5</v>
      </c>
      <c r="V7" s="6"/>
      <c r="W7" s="25" t="s">
        <v>36</v>
      </c>
      <c r="X7" t="s">
        <v>153</v>
      </c>
      <c r="Y7">
        <v>0</v>
      </c>
      <c r="Z7" s="7">
        <f>(Y7/9)</f>
        <v>0</v>
      </c>
      <c r="AA7">
        <v>2</v>
      </c>
      <c r="AB7" s="6">
        <f t="shared" si="3"/>
        <v>0.25</v>
      </c>
      <c r="AC7">
        <v>0</v>
      </c>
      <c r="AD7" s="8">
        <v>7</v>
      </c>
      <c r="AE7">
        <f>Gameweek_8</f>
        <v>19</v>
      </c>
      <c r="AF7" s="6">
        <f t="shared" si="4"/>
        <v>-1.75</v>
      </c>
      <c r="AH7" s="2" t="s">
        <v>32</v>
      </c>
      <c r="AI7" t="s">
        <v>155</v>
      </c>
      <c r="AJ7">
        <v>0</v>
      </c>
      <c r="AK7" s="7">
        <f t="shared" si="5"/>
        <v>0</v>
      </c>
      <c r="AL7">
        <v>0</v>
      </c>
      <c r="AM7" s="6">
        <f t="shared" si="6"/>
        <v>0</v>
      </c>
      <c r="AN7">
        <v>1</v>
      </c>
      <c r="AO7">
        <v>9</v>
      </c>
      <c r="AP7">
        <f>Gameweek_9</f>
        <v>6</v>
      </c>
      <c r="AQ7" s="6">
        <f t="shared" si="7"/>
        <v>9</v>
      </c>
      <c r="AS7" s="2" t="s">
        <v>133</v>
      </c>
      <c r="AT7" t="s">
        <v>155</v>
      </c>
      <c r="AU7">
        <v>0</v>
      </c>
      <c r="AV7" s="7">
        <f t="shared" si="8"/>
        <v>0</v>
      </c>
      <c r="AW7">
        <v>2</v>
      </c>
      <c r="AX7" s="6">
        <f t="shared" si="9"/>
        <v>0.25</v>
      </c>
      <c r="AY7">
        <v>1</v>
      </c>
      <c r="AZ7">
        <v>8</v>
      </c>
      <c r="BA7">
        <f>Gameweek_10</f>
        <v>6</v>
      </c>
      <c r="BB7" s="6">
        <f t="shared" si="10"/>
        <v>6</v>
      </c>
      <c r="BD7" s="2" t="s">
        <v>142</v>
      </c>
      <c r="BE7" t="s">
        <v>160</v>
      </c>
      <c r="BF7">
        <v>0</v>
      </c>
      <c r="BG7" s="7">
        <f t="shared" si="11"/>
        <v>0</v>
      </c>
      <c r="BH7">
        <v>3</v>
      </c>
      <c r="BI7" s="6">
        <f t="shared" si="12"/>
        <v>0.375</v>
      </c>
      <c r="BJ7">
        <f t="shared" si="13"/>
        <v>1</v>
      </c>
      <c r="BK7">
        <v>8</v>
      </c>
      <c r="BL7">
        <f>Gameweek_11</f>
        <v>6</v>
      </c>
      <c r="BM7" s="6">
        <f t="shared" si="14"/>
        <v>5</v>
      </c>
      <c r="BO7" s="2" t="s">
        <v>142</v>
      </c>
      <c r="BP7" t="s">
        <v>160</v>
      </c>
      <c r="BQ7">
        <v>0</v>
      </c>
      <c r="BR7" s="7">
        <f t="shared" ref="BR7:BR38" si="27">(BQ7/9)</f>
        <v>0</v>
      </c>
      <c r="BS7">
        <v>1</v>
      </c>
      <c r="BT7" s="6">
        <f t="shared" si="15"/>
        <v>0.125</v>
      </c>
      <c r="BU7">
        <f t="shared" ref="BU7:BU65" si="28">VLOOKUP(BW7,BU$83:BV$87,2)</f>
        <v>1</v>
      </c>
      <c r="BV7">
        <v>2</v>
      </c>
      <c r="BW7">
        <f>Gameweek_12</f>
        <v>6</v>
      </c>
      <c r="BX7" s="6">
        <f t="shared" si="16"/>
        <v>1.75</v>
      </c>
      <c r="BZ7" s="2" t="s">
        <v>41</v>
      </c>
      <c r="CA7" t="s">
        <v>161</v>
      </c>
      <c r="CB7">
        <v>0</v>
      </c>
      <c r="CC7" s="7">
        <f t="shared" si="17"/>
        <v>0</v>
      </c>
      <c r="CD7">
        <v>4</v>
      </c>
      <c r="CE7" s="6">
        <f t="shared" si="18"/>
        <v>0.5</v>
      </c>
      <c r="CF7">
        <f t="shared" si="19"/>
        <v>1</v>
      </c>
      <c r="CG7">
        <v>9</v>
      </c>
      <c r="CH7">
        <f>Gameweek_13</f>
        <v>6</v>
      </c>
      <c r="CI7" s="6">
        <f t="shared" si="20"/>
        <v>4.5</v>
      </c>
      <c r="CK7" s="2" t="s">
        <v>41</v>
      </c>
      <c r="CL7" t="s">
        <v>161</v>
      </c>
      <c r="CM7">
        <v>0</v>
      </c>
      <c r="CN7" s="7">
        <f t="shared" si="21"/>
        <v>0</v>
      </c>
      <c r="CO7">
        <v>2</v>
      </c>
      <c r="CP7" s="6">
        <f t="shared" si="22"/>
        <v>0.25</v>
      </c>
      <c r="CQ7">
        <f t="shared" si="23"/>
        <v>1</v>
      </c>
      <c r="CR7">
        <v>0</v>
      </c>
      <c r="CS7">
        <f>Gameweek_13</f>
        <v>6</v>
      </c>
      <c r="CT7" s="6">
        <f t="shared" si="24"/>
        <v>0</v>
      </c>
    </row>
    <row r="8" spans="1:98" x14ac:dyDescent="0.2">
      <c r="A8" s="2" t="s">
        <v>4</v>
      </c>
      <c r="B8" s="3">
        <v>22.2</v>
      </c>
      <c r="C8" s="3">
        <v>0</v>
      </c>
      <c r="D8" s="6">
        <f t="shared" si="25"/>
        <v>0</v>
      </c>
      <c r="E8" s="6">
        <v>1</v>
      </c>
      <c r="F8" s="6">
        <f t="shared" si="26"/>
        <v>0.125</v>
      </c>
      <c r="G8" s="3">
        <v>1</v>
      </c>
      <c r="H8" s="3">
        <v>2</v>
      </c>
      <c r="I8" s="3">
        <f>Color</f>
        <v>33</v>
      </c>
      <c r="J8" s="6">
        <f t="shared" ref="J8:J20" si="29">(G8-F8)*H8</f>
        <v>1.75</v>
      </c>
      <c r="K8" s="6"/>
      <c r="L8" s="2" t="s">
        <v>4</v>
      </c>
      <c r="M8" s="3">
        <v>22.2</v>
      </c>
      <c r="N8" s="3">
        <v>0</v>
      </c>
      <c r="O8" s="7">
        <f t="shared" si="0"/>
        <v>0</v>
      </c>
      <c r="P8" s="8">
        <v>2</v>
      </c>
      <c r="Q8" s="6">
        <f t="shared" si="1"/>
        <v>0.25</v>
      </c>
      <c r="R8" s="3">
        <v>1</v>
      </c>
      <c r="S8" s="10">
        <v>2</v>
      </c>
      <c r="T8">
        <f>Get_Color</f>
        <v>6</v>
      </c>
      <c r="U8" s="6">
        <f t="shared" si="2"/>
        <v>1.5</v>
      </c>
      <c r="V8" s="6"/>
      <c r="W8" s="25" t="s">
        <v>34</v>
      </c>
      <c r="X8" t="s">
        <v>155</v>
      </c>
      <c r="Y8">
        <v>0</v>
      </c>
      <c r="Z8" s="7">
        <f>(Y8/9)</f>
        <v>0</v>
      </c>
      <c r="AA8">
        <v>7</v>
      </c>
      <c r="AB8" s="6">
        <f t="shared" si="3"/>
        <v>0.875</v>
      </c>
      <c r="AC8">
        <v>0</v>
      </c>
      <c r="AD8" s="8">
        <v>2</v>
      </c>
      <c r="AE8">
        <f>Gameweek_8</f>
        <v>19</v>
      </c>
      <c r="AF8" s="6">
        <f t="shared" si="4"/>
        <v>-1.75</v>
      </c>
      <c r="AH8" s="2" t="s">
        <v>10</v>
      </c>
      <c r="AI8" t="s">
        <v>149</v>
      </c>
      <c r="AJ8">
        <v>0</v>
      </c>
      <c r="AK8" s="7">
        <f t="shared" si="5"/>
        <v>0</v>
      </c>
      <c r="AL8">
        <v>3</v>
      </c>
      <c r="AM8" s="6">
        <f t="shared" si="6"/>
        <v>0.375</v>
      </c>
      <c r="AN8">
        <v>1</v>
      </c>
      <c r="AO8">
        <v>9</v>
      </c>
      <c r="AP8">
        <f>Gameweek_9</f>
        <v>6</v>
      </c>
      <c r="AQ8" s="6">
        <f t="shared" si="7"/>
        <v>5.625</v>
      </c>
      <c r="AS8" s="2" t="s">
        <v>32</v>
      </c>
      <c r="AT8" t="s">
        <v>155</v>
      </c>
      <c r="AU8">
        <v>0</v>
      </c>
      <c r="AV8" s="7">
        <f t="shared" si="8"/>
        <v>0</v>
      </c>
      <c r="AW8">
        <v>1</v>
      </c>
      <c r="AX8" s="6">
        <f t="shared" si="9"/>
        <v>0.125</v>
      </c>
      <c r="AY8">
        <v>1</v>
      </c>
      <c r="AZ8">
        <v>6</v>
      </c>
      <c r="BA8">
        <f>Gameweek_10</f>
        <v>6</v>
      </c>
      <c r="BB8" s="6">
        <f t="shared" si="10"/>
        <v>5.25</v>
      </c>
      <c r="BD8" s="2" t="s">
        <v>42</v>
      </c>
      <c r="BE8" t="s">
        <v>157</v>
      </c>
      <c r="BF8">
        <v>0</v>
      </c>
      <c r="BG8" s="7">
        <f t="shared" si="11"/>
        <v>0</v>
      </c>
      <c r="BH8">
        <v>5</v>
      </c>
      <c r="BI8" s="6">
        <f t="shared" si="12"/>
        <v>0.625</v>
      </c>
      <c r="BJ8">
        <f t="shared" si="13"/>
        <v>1</v>
      </c>
      <c r="BK8">
        <v>14</v>
      </c>
      <c r="BL8">
        <f>Gameweek_11</f>
        <v>6</v>
      </c>
      <c r="BM8" s="6">
        <f t="shared" si="14"/>
        <v>5.25</v>
      </c>
      <c r="BO8" s="2" t="s">
        <v>42</v>
      </c>
      <c r="BP8" t="s">
        <v>157</v>
      </c>
      <c r="BQ8">
        <v>0</v>
      </c>
      <c r="BR8" s="7">
        <f t="shared" si="27"/>
        <v>0</v>
      </c>
      <c r="BS8">
        <v>5</v>
      </c>
      <c r="BT8" s="6">
        <f t="shared" si="15"/>
        <v>0.625</v>
      </c>
      <c r="BU8">
        <f t="shared" si="28"/>
        <v>1</v>
      </c>
      <c r="BV8">
        <v>12</v>
      </c>
      <c r="BW8">
        <f>Gameweek_12</f>
        <v>6</v>
      </c>
      <c r="BX8" s="6">
        <f t="shared" si="16"/>
        <v>4.5</v>
      </c>
      <c r="BZ8" s="2" t="s">
        <v>32</v>
      </c>
      <c r="CA8" t="s">
        <v>155</v>
      </c>
      <c r="CB8">
        <v>0</v>
      </c>
      <c r="CC8" s="7">
        <f t="shared" si="17"/>
        <v>0</v>
      </c>
      <c r="CD8">
        <v>1</v>
      </c>
      <c r="CE8" s="6">
        <f t="shared" si="18"/>
        <v>0.125</v>
      </c>
      <c r="CF8">
        <f t="shared" si="19"/>
        <v>1</v>
      </c>
      <c r="CG8">
        <v>2</v>
      </c>
      <c r="CH8">
        <f>Gameweek_13</f>
        <v>6</v>
      </c>
      <c r="CI8" s="6">
        <f t="shared" si="20"/>
        <v>1.75</v>
      </c>
      <c r="CK8" s="2" t="s">
        <v>32</v>
      </c>
      <c r="CL8" t="s">
        <v>155</v>
      </c>
      <c r="CM8">
        <v>0</v>
      </c>
      <c r="CN8" s="7">
        <f t="shared" si="21"/>
        <v>0</v>
      </c>
      <c r="CO8">
        <v>1</v>
      </c>
      <c r="CP8" s="6">
        <f t="shared" si="22"/>
        <v>0.125</v>
      </c>
      <c r="CQ8">
        <f t="shared" si="23"/>
        <v>1</v>
      </c>
      <c r="CR8">
        <v>0</v>
      </c>
      <c r="CS8">
        <f>Gameweek_13</f>
        <v>6</v>
      </c>
      <c r="CT8" s="6">
        <f t="shared" si="24"/>
        <v>0</v>
      </c>
    </row>
    <row r="9" spans="1:98" x14ac:dyDescent="0.2">
      <c r="A9" s="2" t="s">
        <v>1</v>
      </c>
      <c r="B9" s="3">
        <v>100</v>
      </c>
      <c r="C9" s="3">
        <v>1</v>
      </c>
      <c r="D9" s="6">
        <f t="shared" si="25"/>
        <v>0.1111111111111111</v>
      </c>
      <c r="E9" s="6">
        <v>9</v>
      </c>
      <c r="F9" s="6">
        <f t="shared" si="26"/>
        <v>1.2361111111111112</v>
      </c>
      <c r="G9" s="3">
        <v>1</v>
      </c>
      <c r="H9" s="3">
        <v>7</v>
      </c>
      <c r="I9" s="3">
        <f>Color</f>
        <v>6</v>
      </c>
      <c r="J9" s="6">
        <f t="shared" si="29"/>
        <v>-1.6527777777777781</v>
      </c>
      <c r="K9" s="6"/>
      <c r="L9" s="2" t="s">
        <v>1</v>
      </c>
      <c r="M9" s="3">
        <v>100</v>
      </c>
      <c r="N9" s="3">
        <v>1</v>
      </c>
      <c r="O9" s="7">
        <f t="shared" si="0"/>
        <v>0.1111111111111111</v>
      </c>
      <c r="P9" s="8">
        <v>8</v>
      </c>
      <c r="Q9" s="6">
        <f t="shared" si="1"/>
        <v>1.1111111111111112</v>
      </c>
      <c r="R9" s="3">
        <v>1</v>
      </c>
      <c r="S9" s="8">
        <v>13</v>
      </c>
      <c r="T9">
        <f>Get_Color</f>
        <v>6</v>
      </c>
      <c r="U9" s="6">
        <f t="shared" si="2"/>
        <v>-1.4444444444444451</v>
      </c>
      <c r="V9" s="6"/>
      <c r="W9" s="25" t="s">
        <v>35</v>
      </c>
      <c r="X9" t="s">
        <v>154</v>
      </c>
      <c r="AA9">
        <v>1</v>
      </c>
      <c r="AB9" s="6">
        <f t="shared" si="3"/>
        <v>0.125</v>
      </c>
      <c r="AC9">
        <v>0</v>
      </c>
      <c r="AD9" s="8">
        <v>12</v>
      </c>
      <c r="AE9">
        <f>Gameweek_8</f>
        <v>19</v>
      </c>
      <c r="AF9" s="6">
        <f t="shared" si="4"/>
        <v>-1.5</v>
      </c>
      <c r="AH9" s="2" t="s">
        <v>3</v>
      </c>
      <c r="AI9" t="s">
        <v>148</v>
      </c>
      <c r="AJ9">
        <v>0</v>
      </c>
      <c r="AK9" s="7">
        <f t="shared" si="5"/>
        <v>0</v>
      </c>
      <c r="AL9">
        <v>7</v>
      </c>
      <c r="AM9" s="6">
        <f t="shared" si="6"/>
        <v>0.875</v>
      </c>
      <c r="AN9">
        <v>1</v>
      </c>
      <c r="AO9">
        <v>7</v>
      </c>
      <c r="AP9">
        <f>Gameweek_9</f>
        <v>6</v>
      </c>
      <c r="AQ9" s="6">
        <f t="shared" si="7"/>
        <v>0.875</v>
      </c>
      <c r="AS9" s="2" t="s">
        <v>41</v>
      </c>
      <c r="AT9" t="s">
        <v>161</v>
      </c>
      <c r="AU9">
        <v>0</v>
      </c>
      <c r="AV9" s="7">
        <f t="shared" si="8"/>
        <v>0</v>
      </c>
      <c r="AW9">
        <v>4</v>
      </c>
      <c r="AX9" s="6">
        <f t="shared" si="9"/>
        <v>0.5</v>
      </c>
      <c r="AY9">
        <v>1</v>
      </c>
      <c r="AZ9">
        <v>2</v>
      </c>
      <c r="BA9">
        <f>Gameweek_10</f>
        <v>6</v>
      </c>
      <c r="BB9" s="6">
        <f t="shared" si="10"/>
        <v>1</v>
      </c>
      <c r="BD9" s="2" t="s">
        <v>3</v>
      </c>
      <c r="BE9" t="s">
        <v>148</v>
      </c>
      <c r="BF9">
        <v>0</v>
      </c>
      <c r="BG9" s="7">
        <f t="shared" si="11"/>
        <v>0</v>
      </c>
      <c r="BH9">
        <v>7</v>
      </c>
      <c r="BI9" s="6">
        <f t="shared" si="12"/>
        <v>0.875</v>
      </c>
      <c r="BJ9">
        <f t="shared" si="13"/>
        <v>1</v>
      </c>
      <c r="BK9">
        <v>2</v>
      </c>
      <c r="BL9">
        <f>Gameweek_11</f>
        <v>6</v>
      </c>
      <c r="BM9" s="6">
        <f t="shared" si="14"/>
        <v>0.25</v>
      </c>
      <c r="BO9" s="2" t="s">
        <v>3</v>
      </c>
      <c r="BP9" t="s">
        <v>148</v>
      </c>
      <c r="BQ9">
        <v>0</v>
      </c>
      <c r="BR9" s="7">
        <f t="shared" si="27"/>
        <v>0</v>
      </c>
      <c r="BS9">
        <v>7</v>
      </c>
      <c r="BT9" s="6">
        <f t="shared" si="15"/>
        <v>0.875</v>
      </c>
      <c r="BU9">
        <f t="shared" si="28"/>
        <v>1</v>
      </c>
      <c r="BV9">
        <v>2</v>
      </c>
      <c r="BW9">
        <f>Gameweek_12</f>
        <v>6</v>
      </c>
      <c r="BX9" s="6">
        <f t="shared" si="16"/>
        <v>0.25</v>
      </c>
      <c r="BZ9" s="2" t="s">
        <v>172</v>
      </c>
      <c r="CA9" t="s">
        <v>163</v>
      </c>
      <c r="CB9">
        <v>0</v>
      </c>
      <c r="CC9" s="7">
        <f t="shared" si="17"/>
        <v>0</v>
      </c>
      <c r="CD9">
        <v>2</v>
      </c>
      <c r="CE9" s="6">
        <f t="shared" si="18"/>
        <v>0.25</v>
      </c>
      <c r="CF9">
        <f t="shared" si="19"/>
        <v>1</v>
      </c>
      <c r="CG9">
        <v>12</v>
      </c>
      <c r="CH9">
        <f>Gameweek_13</f>
        <v>6</v>
      </c>
      <c r="CI9" s="6">
        <f t="shared" si="20"/>
        <v>9</v>
      </c>
      <c r="CK9" s="2" t="s">
        <v>172</v>
      </c>
      <c r="CL9" t="s">
        <v>163</v>
      </c>
      <c r="CM9">
        <v>0</v>
      </c>
      <c r="CN9" s="7">
        <f t="shared" si="21"/>
        <v>0</v>
      </c>
      <c r="CO9">
        <v>2</v>
      </c>
      <c r="CP9" s="6">
        <f t="shared" si="22"/>
        <v>0.25</v>
      </c>
      <c r="CQ9">
        <f t="shared" si="23"/>
        <v>1</v>
      </c>
      <c r="CR9">
        <v>0</v>
      </c>
      <c r="CS9">
        <f>Gameweek_13</f>
        <v>6</v>
      </c>
      <c r="CT9" s="6">
        <f t="shared" si="24"/>
        <v>0</v>
      </c>
    </row>
    <row r="10" spans="1:98" x14ac:dyDescent="0.2">
      <c r="A10" s="2" t="s">
        <v>5</v>
      </c>
      <c r="B10" s="3">
        <v>33.299999999999997</v>
      </c>
      <c r="C10" s="3">
        <v>0</v>
      </c>
      <c r="D10" s="6">
        <f t="shared" si="25"/>
        <v>0</v>
      </c>
      <c r="E10" s="6">
        <v>2</v>
      </c>
      <c r="F10" s="6">
        <f t="shared" si="26"/>
        <v>0.25</v>
      </c>
      <c r="G10" s="3">
        <v>1</v>
      </c>
      <c r="H10" s="3">
        <v>7</v>
      </c>
      <c r="I10" s="3">
        <f>Color</f>
        <v>6</v>
      </c>
      <c r="J10" s="6">
        <f t="shared" si="29"/>
        <v>5.25</v>
      </c>
      <c r="K10" s="6"/>
      <c r="L10" s="2" t="s">
        <v>27</v>
      </c>
      <c r="M10" s="3">
        <v>66.67</v>
      </c>
      <c r="N10" s="3">
        <v>0</v>
      </c>
      <c r="O10" s="7">
        <f t="shared" si="0"/>
        <v>0</v>
      </c>
      <c r="P10" s="8">
        <v>5</v>
      </c>
      <c r="Q10" s="6">
        <f t="shared" si="1"/>
        <v>0.625</v>
      </c>
      <c r="R10" s="3">
        <v>1</v>
      </c>
      <c r="S10" s="8">
        <v>3</v>
      </c>
      <c r="T10">
        <f>Get_Color</f>
        <v>6</v>
      </c>
      <c r="U10" s="6">
        <f t="shared" si="2"/>
        <v>1.125</v>
      </c>
      <c r="V10" s="6"/>
      <c r="W10" s="25" t="s">
        <v>57</v>
      </c>
      <c r="X10" t="s">
        <v>155</v>
      </c>
      <c r="Y10">
        <v>0</v>
      </c>
      <c r="Z10" s="7">
        <f t="shared" ref="Z10:Z17" si="30">(Y10/9)</f>
        <v>0</v>
      </c>
      <c r="AA10">
        <v>2</v>
      </c>
      <c r="AB10" s="6">
        <f t="shared" si="3"/>
        <v>0.25</v>
      </c>
      <c r="AC10">
        <v>0</v>
      </c>
      <c r="AD10" s="8">
        <v>6</v>
      </c>
      <c r="AE10">
        <f>Gameweek_8</f>
        <v>19</v>
      </c>
      <c r="AF10" s="6">
        <f t="shared" si="4"/>
        <v>-1.5</v>
      </c>
      <c r="AH10" s="2" t="s">
        <v>6</v>
      </c>
      <c r="AI10" t="s">
        <v>152</v>
      </c>
      <c r="AJ10">
        <v>0</v>
      </c>
      <c r="AK10" s="7">
        <f t="shared" si="5"/>
        <v>0</v>
      </c>
      <c r="AL10">
        <v>4</v>
      </c>
      <c r="AM10" s="6">
        <f t="shared" si="6"/>
        <v>0.5</v>
      </c>
      <c r="AN10">
        <v>1</v>
      </c>
      <c r="AO10">
        <v>5</v>
      </c>
      <c r="AP10">
        <f>Gameweek_9</f>
        <v>6</v>
      </c>
      <c r="AQ10" s="6">
        <f t="shared" si="7"/>
        <v>2.5</v>
      </c>
      <c r="AS10" s="2" t="s">
        <v>15</v>
      </c>
      <c r="AT10" t="s">
        <v>158</v>
      </c>
      <c r="AU10">
        <v>0</v>
      </c>
      <c r="AV10" s="7">
        <f t="shared" si="8"/>
        <v>0</v>
      </c>
      <c r="AW10">
        <v>5</v>
      </c>
      <c r="AX10" s="6">
        <f t="shared" si="9"/>
        <v>0.625</v>
      </c>
      <c r="AY10">
        <v>1</v>
      </c>
      <c r="AZ10">
        <v>2</v>
      </c>
      <c r="BA10">
        <f>Gameweek_10</f>
        <v>6</v>
      </c>
      <c r="BB10" s="6">
        <f t="shared" si="10"/>
        <v>0.75</v>
      </c>
      <c r="BD10" s="2" t="s">
        <v>133</v>
      </c>
      <c r="BE10" t="s">
        <v>155</v>
      </c>
      <c r="BF10">
        <v>0</v>
      </c>
      <c r="BG10" s="7">
        <f t="shared" si="11"/>
        <v>0</v>
      </c>
      <c r="BH10">
        <v>3</v>
      </c>
      <c r="BI10" s="6">
        <f t="shared" si="12"/>
        <v>0.375</v>
      </c>
      <c r="BJ10">
        <f t="shared" si="13"/>
        <v>1</v>
      </c>
      <c r="BK10">
        <v>2</v>
      </c>
      <c r="BL10">
        <f>Gameweek_11</f>
        <v>6</v>
      </c>
      <c r="BM10" s="6">
        <f t="shared" si="14"/>
        <v>1.25</v>
      </c>
      <c r="BO10" s="2" t="s">
        <v>133</v>
      </c>
      <c r="BP10" t="s">
        <v>155</v>
      </c>
      <c r="BQ10">
        <v>0</v>
      </c>
      <c r="BR10" s="7">
        <f t="shared" si="27"/>
        <v>0</v>
      </c>
      <c r="BS10">
        <v>4</v>
      </c>
      <c r="BT10" s="6">
        <f t="shared" si="15"/>
        <v>0.5</v>
      </c>
      <c r="BU10">
        <f t="shared" si="28"/>
        <v>1</v>
      </c>
      <c r="BV10">
        <v>9</v>
      </c>
      <c r="BW10">
        <f>Gameweek_12</f>
        <v>6</v>
      </c>
      <c r="BX10" s="6">
        <f t="shared" si="16"/>
        <v>4.5</v>
      </c>
      <c r="BZ10" s="23" t="s">
        <v>136</v>
      </c>
      <c r="CA10" t="s">
        <v>154</v>
      </c>
      <c r="CB10">
        <v>1</v>
      </c>
      <c r="CC10" s="7">
        <f t="shared" si="17"/>
        <v>0.1111111111111111</v>
      </c>
      <c r="CD10">
        <v>3</v>
      </c>
      <c r="CE10" s="6">
        <f t="shared" si="18"/>
        <v>0.4861111111111111</v>
      </c>
      <c r="CF10">
        <f t="shared" si="19"/>
        <v>1</v>
      </c>
      <c r="CG10">
        <v>0</v>
      </c>
      <c r="CH10">
        <f>Gameweek_13</f>
        <v>6</v>
      </c>
      <c r="CI10" s="6">
        <f t="shared" si="20"/>
        <v>0</v>
      </c>
      <c r="CK10" s="23" t="s">
        <v>136</v>
      </c>
      <c r="CL10" t="s">
        <v>154</v>
      </c>
      <c r="CM10">
        <v>1</v>
      </c>
      <c r="CN10" s="7">
        <f t="shared" si="21"/>
        <v>0.1111111111111111</v>
      </c>
      <c r="CO10">
        <v>3</v>
      </c>
      <c r="CP10" s="6">
        <f t="shared" si="22"/>
        <v>0.4861111111111111</v>
      </c>
      <c r="CQ10">
        <f t="shared" si="23"/>
        <v>1</v>
      </c>
      <c r="CR10">
        <v>0</v>
      </c>
      <c r="CS10">
        <f>Gameweek_13</f>
        <v>6</v>
      </c>
      <c r="CT10" s="6">
        <f t="shared" si="24"/>
        <v>0</v>
      </c>
    </row>
    <row r="11" spans="1:98" x14ac:dyDescent="0.2">
      <c r="A11" s="2" t="s">
        <v>6</v>
      </c>
      <c r="B11" s="3">
        <v>55.6</v>
      </c>
      <c r="C11" s="3">
        <v>0</v>
      </c>
      <c r="D11" s="6">
        <f t="shared" si="25"/>
        <v>0</v>
      </c>
      <c r="E11" s="6">
        <v>4</v>
      </c>
      <c r="F11" s="6">
        <f t="shared" si="26"/>
        <v>0.5</v>
      </c>
      <c r="G11" s="3">
        <v>1</v>
      </c>
      <c r="H11" s="3">
        <v>6</v>
      </c>
      <c r="I11" s="3">
        <f>Color</f>
        <v>6</v>
      </c>
      <c r="J11" s="6">
        <f t="shared" si="29"/>
        <v>3</v>
      </c>
      <c r="K11" s="6"/>
      <c r="L11" s="2" t="s">
        <v>6</v>
      </c>
      <c r="M11" s="3">
        <v>55.6</v>
      </c>
      <c r="N11" s="3">
        <v>0</v>
      </c>
      <c r="O11" s="7">
        <f t="shared" si="0"/>
        <v>0</v>
      </c>
      <c r="P11" s="8">
        <v>3</v>
      </c>
      <c r="Q11" s="6">
        <f t="shared" si="1"/>
        <v>0.375</v>
      </c>
      <c r="R11" s="3">
        <v>1</v>
      </c>
      <c r="S11" s="8">
        <v>2</v>
      </c>
      <c r="T11">
        <f>Get_Color</f>
        <v>6</v>
      </c>
      <c r="U11" s="6">
        <f t="shared" si="2"/>
        <v>1.25</v>
      </c>
      <c r="V11" s="6"/>
      <c r="W11" s="25" t="s">
        <v>37</v>
      </c>
      <c r="X11" t="s">
        <v>148</v>
      </c>
      <c r="Y11">
        <v>0</v>
      </c>
      <c r="Z11" s="7">
        <f t="shared" si="30"/>
        <v>0</v>
      </c>
      <c r="AA11">
        <v>3</v>
      </c>
      <c r="AB11" s="6">
        <f t="shared" si="3"/>
        <v>0.375</v>
      </c>
      <c r="AC11">
        <v>0</v>
      </c>
      <c r="AD11" s="8">
        <v>3</v>
      </c>
      <c r="AE11">
        <f>Gameweek_8</f>
        <v>19</v>
      </c>
      <c r="AF11" s="6">
        <f t="shared" si="4"/>
        <v>-1.125</v>
      </c>
      <c r="AH11" s="2" t="s">
        <v>41</v>
      </c>
      <c r="AI11" t="s">
        <v>161</v>
      </c>
      <c r="AJ11">
        <v>0</v>
      </c>
      <c r="AK11" s="7">
        <f t="shared" si="5"/>
        <v>0</v>
      </c>
      <c r="AL11">
        <v>4</v>
      </c>
      <c r="AM11" s="6">
        <f t="shared" si="6"/>
        <v>0.5</v>
      </c>
      <c r="AN11">
        <v>1</v>
      </c>
      <c r="AO11">
        <v>2</v>
      </c>
      <c r="AP11">
        <f>Gameweek_9</f>
        <v>6</v>
      </c>
      <c r="AQ11" s="6">
        <f t="shared" si="7"/>
        <v>1</v>
      </c>
      <c r="AS11" s="2" t="s">
        <v>42</v>
      </c>
      <c r="AT11" t="s">
        <v>157</v>
      </c>
      <c r="AU11">
        <v>0</v>
      </c>
      <c r="AV11" s="7">
        <f t="shared" si="8"/>
        <v>0</v>
      </c>
      <c r="AW11">
        <v>5</v>
      </c>
      <c r="AX11" s="6">
        <f t="shared" si="9"/>
        <v>0.625</v>
      </c>
      <c r="AY11">
        <v>1</v>
      </c>
      <c r="AZ11">
        <v>2</v>
      </c>
      <c r="BA11">
        <f>Gameweek_10</f>
        <v>6</v>
      </c>
      <c r="BB11" s="6">
        <f t="shared" si="10"/>
        <v>0.75</v>
      </c>
      <c r="BD11" s="2" t="s">
        <v>27</v>
      </c>
      <c r="BE11" t="s">
        <v>151</v>
      </c>
      <c r="BF11">
        <v>0</v>
      </c>
      <c r="BG11" s="7">
        <f t="shared" si="11"/>
        <v>0</v>
      </c>
      <c r="BH11">
        <v>3</v>
      </c>
      <c r="BI11" s="6">
        <f t="shared" si="12"/>
        <v>0.375</v>
      </c>
      <c r="BJ11">
        <f t="shared" si="13"/>
        <v>1</v>
      </c>
      <c r="BK11">
        <v>9</v>
      </c>
      <c r="BL11">
        <f>Gameweek_11</f>
        <v>6</v>
      </c>
      <c r="BM11" s="6">
        <f t="shared" si="14"/>
        <v>5.625</v>
      </c>
      <c r="BO11" s="4" t="s">
        <v>27</v>
      </c>
      <c r="BP11" t="s">
        <v>151</v>
      </c>
      <c r="BQ11">
        <v>0</v>
      </c>
      <c r="BR11" s="7">
        <f t="shared" si="27"/>
        <v>0</v>
      </c>
      <c r="BS11">
        <v>2</v>
      </c>
      <c r="BT11" s="6">
        <f t="shared" si="15"/>
        <v>0.25</v>
      </c>
      <c r="BU11">
        <f t="shared" si="28"/>
        <v>0</v>
      </c>
      <c r="BV11">
        <v>0</v>
      </c>
      <c r="BW11">
        <f>Gameweek_12</f>
        <v>3</v>
      </c>
      <c r="BX11" s="6">
        <f t="shared" si="16"/>
        <v>0</v>
      </c>
      <c r="BZ11" s="2" t="s">
        <v>142</v>
      </c>
      <c r="CA11" t="s">
        <v>160</v>
      </c>
      <c r="CB11">
        <v>0</v>
      </c>
      <c r="CC11" s="7">
        <f t="shared" si="17"/>
        <v>0</v>
      </c>
      <c r="CD11">
        <v>3</v>
      </c>
      <c r="CE11" s="6">
        <f t="shared" si="18"/>
        <v>0.375</v>
      </c>
      <c r="CF11">
        <f t="shared" si="19"/>
        <v>1</v>
      </c>
      <c r="CG11">
        <v>3</v>
      </c>
      <c r="CH11">
        <f>Gameweek_13</f>
        <v>6</v>
      </c>
      <c r="CI11" s="6">
        <f t="shared" si="20"/>
        <v>1.875</v>
      </c>
      <c r="CK11" s="2" t="s">
        <v>142</v>
      </c>
      <c r="CL11" t="s">
        <v>160</v>
      </c>
      <c r="CM11">
        <v>0</v>
      </c>
      <c r="CN11" s="7">
        <f t="shared" si="21"/>
        <v>0</v>
      </c>
      <c r="CO11">
        <v>1</v>
      </c>
      <c r="CP11" s="6">
        <f t="shared" si="22"/>
        <v>0.125</v>
      </c>
      <c r="CQ11">
        <f t="shared" si="23"/>
        <v>1</v>
      </c>
      <c r="CR11">
        <v>0</v>
      </c>
      <c r="CS11">
        <f>Gameweek_13</f>
        <v>6</v>
      </c>
      <c r="CT11" s="6">
        <f t="shared" si="24"/>
        <v>0</v>
      </c>
    </row>
    <row r="12" spans="1:98" x14ac:dyDescent="0.2">
      <c r="A12" s="2" t="s">
        <v>7</v>
      </c>
      <c r="B12" s="3">
        <v>11.1</v>
      </c>
      <c r="C12" s="3">
        <v>0</v>
      </c>
      <c r="D12" s="6">
        <f t="shared" si="25"/>
        <v>0</v>
      </c>
      <c r="E12" s="6">
        <v>0</v>
      </c>
      <c r="F12" s="6">
        <f t="shared" si="26"/>
        <v>0</v>
      </c>
      <c r="G12" s="3">
        <v>1</v>
      </c>
      <c r="H12" s="3">
        <v>6</v>
      </c>
      <c r="I12" s="3">
        <f>Color</f>
        <v>6</v>
      </c>
      <c r="J12" s="6">
        <f t="shared" si="29"/>
        <v>6</v>
      </c>
      <c r="K12" s="6"/>
      <c r="L12" s="2" t="s">
        <v>7</v>
      </c>
      <c r="M12" s="3">
        <v>11.1</v>
      </c>
      <c r="N12" s="3">
        <v>0</v>
      </c>
      <c r="O12" s="7">
        <f t="shared" si="0"/>
        <v>0</v>
      </c>
      <c r="P12" s="8">
        <v>0</v>
      </c>
      <c r="Q12" s="6">
        <f t="shared" si="1"/>
        <v>0</v>
      </c>
      <c r="R12" s="3">
        <v>1</v>
      </c>
      <c r="S12" s="10">
        <v>2</v>
      </c>
      <c r="T12">
        <f>Get_Color</f>
        <v>6</v>
      </c>
      <c r="U12" s="6">
        <f t="shared" si="2"/>
        <v>2</v>
      </c>
      <c r="V12" s="6"/>
      <c r="W12" s="25" t="s">
        <v>145</v>
      </c>
      <c r="X12" t="s">
        <v>157</v>
      </c>
      <c r="Y12">
        <v>0</v>
      </c>
      <c r="Z12" s="7">
        <f t="shared" si="30"/>
        <v>0</v>
      </c>
      <c r="AA12">
        <v>1</v>
      </c>
      <c r="AB12" s="6">
        <f t="shared" si="3"/>
        <v>0.125</v>
      </c>
      <c r="AC12">
        <v>0</v>
      </c>
      <c r="AD12" s="8">
        <v>8</v>
      </c>
      <c r="AE12">
        <f>Gameweek_8</f>
        <v>19</v>
      </c>
      <c r="AF12" s="6">
        <f t="shared" si="4"/>
        <v>-1</v>
      </c>
      <c r="AH12" s="23" t="s">
        <v>136</v>
      </c>
      <c r="AI12" t="s">
        <v>154</v>
      </c>
      <c r="AJ12">
        <v>0</v>
      </c>
      <c r="AK12" s="7">
        <f t="shared" si="5"/>
        <v>0</v>
      </c>
      <c r="AL12">
        <v>0</v>
      </c>
      <c r="AM12" s="6">
        <f t="shared" si="6"/>
        <v>0</v>
      </c>
      <c r="AN12">
        <v>1</v>
      </c>
      <c r="AO12">
        <v>2</v>
      </c>
      <c r="AP12">
        <f>Gameweek_9</f>
        <v>6</v>
      </c>
      <c r="AQ12" s="6">
        <f t="shared" si="7"/>
        <v>2</v>
      </c>
      <c r="AS12" s="2" t="s">
        <v>172</v>
      </c>
      <c r="AT12" t="s">
        <v>163</v>
      </c>
      <c r="AU12">
        <v>0</v>
      </c>
      <c r="AV12" s="7">
        <f t="shared" si="8"/>
        <v>0</v>
      </c>
      <c r="AW12">
        <v>4</v>
      </c>
      <c r="AX12" s="6">
        <f t="shared" si="9"/>
        <v>0.5</v>
      </c>
      <c r="AY12">
        <v>1</v>
      </c>
      <c r="AZ12">
        <v>1</v>
      </c>
      <c r="BA12">
        <f>Gameweek_10</f>
        <v>6</v>
      </c>
      <c r="BB12" s="6">
        <f t="shared" si="10"/>
        <v>0.5</v>
      </c>
      <c r="BD12" s="2" t="s">
        <v>32</v>
      </c>
      <c r="BE12" t="s">
        <v>155</v>
      </c>
      <c r="BF12">
        <v>0</v>
      </c>
      <c r="BG12" s="7">
        <f t="shared" si="11"/>
        <v>0</v>
      </c>
      <c r="BH12">
        <v>1</v>
      </c>
      <c r="BI12" s="6">
        <f t="shared" si="12"/>
        <v>0.125</v>
      </c>
      <c r="BJ12">
        <f t="shared" si="13"/>
        <v>1</v>
      </c>
      <c r="BK12">
        <v>2</v>
      </c>
      <c r="BL12">
        <f>Gameweek_11</f>
        <v>6</v>
      </c>
      <c r="BM12" s="6">
        <f t="shared" si="14"/>
        <v>1.75</v>
      </c>
      <c r="BO12" s="2" t="s">
        <v>32</v>
      </c>
      <c r="BP12" t="s">
        <v>155</v>
      </c>
      <c r="BQ12">
        <v>0</v>
      </c>
      <c r="BR12" s="7">
        <f t="shared" si="27"/>
        <v>0</v>
      </c>
      <c r="BS12">
        <v>1</v>
      </c>
      <c r="BT12" s="6">
        <f t="shared" si="15"/>
        <v>0.125</v>
      </c>
      <c r="BU12">
        <f t="shared" si="28"/>
        <v>1</v>
      </c>
      <c r="BV12">
        <v>14</v>
      </c>
      <c r="BW12">
        <f>Gameweek_12</f>
        <v>6</v>
      </c>
      <c r="BX12" s="6">
        <f t="shared" si="16"/>
        <v>12.25</v>
      </c>
      <c r="BZ12" s="2" t="s">
        <v>14</v>
      </c>
      <c r="CA12" t="s">
        <v>156</v>
      </c>
      <c r="CB12">
        <v>0</v>
      </c>
      <c r="CC12" s="7">
        <f t="shared" si="17"/>
        <v>0</v>
      </c>
      <c r="CD12">
        <v>3</v>
      </c>
      <c r="CE12" s="6">
        <f t="shared" si="18"/>
        <v>0.375</v>
      </c>
      <c r="CF12">
        <f t="shared" si="19"/>
        <v>1</v>
      </c>
      <c r="CG12">
        <v>8</v>
      </c>
      <c r="CH12">
        <f>Gameweek_13</f>
        <v>6</v>
      </c>
      <c r="CI12" s="6">
        <f t="shared" si="20"/>
        <v>5</v>
      </c>
      <c r="CK12" s="2" t="s">
        <v>14</v>
      </c>
      <c r="CL12" t="s">
        <v>156</v>
      </c>
      <c r="CM12">
        <v>0</v>
      </c>
      <c r="CN12" s="7">
        <f t="shared" si="21"/>
        <v>0</v>
      </c>
      <c r="CO12">
        <v>2</v>
      </c>
      <c r="CP12" s="6">
        <f t="shared" si="22"/>
        <v>0.25</v>
      </c>
      <c r="CQ12">
        <f t="shared" si="23"/>
        <v>1</v>
      </c>
      <c r="CR12">
        <v>0</v>
      </c>
      <c r="CS12">
        <f>Gameweek_13</f>
        <v>6</v>
      </c>
      <c r="CT12" s="6">
        <f t="shared" si="24"/>
        <v>0</v>
      </c>
    </row>
    <row r="13" spans="1:98" x14ac:dyDescent="0.2">
      <c r="A13" s="4" t="s">
        <v>8</v>
      </c>
      <c r="B13" s="3">
        <v>44.4</v>
      </c>
      <c r="C13" s="3">
        <v>0</v>
      </c>
      <c r="D13" s="6">
        <f t="shared" si="25"/>
        <v>0</v>
      </c>
      <c r="E13" s="6">
        <v>1</v>
      </c>
      <c r="F13" s="6">
        <f t="shared" si="26"/>
        <v>0.125</v>
      </c>
      <c r="G13" s="3">
        <v>0</v>
      </c>
      <c r="H13" s="3">
        <v>0</v>
      </c>
      <c r="I13" s="3">
        <f>Color</f>
        <v>6</v>
      </c>
      <c r="J13" s="6">
        <f t="shared" si="29"/>
        <v>0</v>
      </c>
      <c r="K13" s="6"/>
      <c r="L13" s="4" t="s">
        <v>8</v>
      </c>
      <c r="M13" s="3">
        <v>22.2</v>
      </c>
      <c r="N13" s="3">
        <v>0</v>
      </c>
      <c r="O13" s="7">
        <f t="shared" si="0"/>
        <v>0</v>
      </c>
      <c r="P13" s="8">
        <v>1</v>
      </c>
      <c r="Q13" s="6">
        <f t="shared" si="1"/>
        <v>0.125</v>
      </c>
      <c r="R13" s="3">
        <v>0</v>
      </c>
      <c r="S13" s="8">
        <v>0</v>
      </c>
      <c r="T13">
        <f>Get_Color</f>
        <v>3</v>
      </c>
      <c r="U13" s="6">
        <f t="shared" si="2"/>
        <v>0</v>
      </c>
      <c r="V13" s="6"/>
      <c r="W13" s="25" t="s">
        <v>49</v>
      </c>
      <c r="X13" t="s">
        <v>159</v>
      </c>
      <c r="Y13">
        <v>0</v>
      </c>
      <c r="Z13" s="7">
        <f t="shared" si="30"/>
        <v>0</v>
      </c>
      <c r="AA13">
        <v>1</v>
      </c>
      <c r="AB13" s="6">
        <f t="shared" si="3"/>
        <v>0.125</v>
      </c>
      <c r="AC13">
        <v>0</v>
      </c>
      <c r="AD13" s="8">
        <v>7</v>
      </c>
      <c r="AE13">
        <f>Gameweek_8</f>
        <v>19</v>
      </c>
      <c r="AF13" s="6">
        <f t="shared" si="4"/>
        <v>-0.875</v>
      </c>
      <c r="AH13" s="2" t="s">
        <v>2</v>
      </c>
      <c r="AI13" t="s">
        <v>153</v>
      </c>
      <c r="AJ13">
        <v>0</v>
      </c>
      <c r="AK13" s="7">
        <f t="shared" si="5"/>
        <v>0</v>
      </c>
      <c r="AL13">
        <v>1</v>
      </c>
      <c r="AM13" s="6">
        <f t="shared" si="6"/>
        <v>0.125</v>
      </c>
      <c r="AN13">
        <v>1</v>
      </c>
      <c r="AO13">
        <v>1</v>
      </c>
      <c r="AP13">
        <f>Gameweek_9</f>
        <v>6</v>
      </c>
      <c r="AQ13" s="6">
        <f t="shared" si="7"/>
        <v>0.875</v>
      </c>
      <c r="AS13" s="2" t="s">
        <v>3</v>
      </c>
      <c r="AT13" t="s">
        <v>148</v>
      </c>
      <c r="AU13">
        <v>0</v>
      </c>
      <c r="AV13" s="7">
        <f t="shared" si="8"/>
        <v>0</v>
      </c>
      <c r="AW13">
        <v>7</v>
      </c>
      <c r="AX13" s="6">
        <f t="shared" si="9"/>
        <v>0.875</v>
      </c>
      <c r="AY13">
        <v>1</v>
      </c>
      <c r="AZ13">
        <v>2</v>
      </c>
      <c r="BA13">
        <f>Gameweek_10</f>
        <v>6</v>
      </c>
      <c r="BB13" s="6">
        <f t="shared" si="10"/>
        <v>0.25</v>
      </c>
      <c r="BD13" s="2" t="s">
        <v>172</v>
      </c>
      <c r="BE13" t="s">
        <v>163</v>
      </c>
      <c r="BF13">
        <v>0</v>
      </c>
      <c r="BG13" s="7">
        <f t="shared" si="11"/>
        <v>0</v>
      </c>
      <c r="BH13">
        <v>4</v>
      </c>
      <c r="BI13" s="6">
        <f t="shared" si="12"/>
        <v>0.5</v>
      </c>
      <c r="BJ13">
        <f t="shared" si="13"/>
        <v>1</v>
      </c>
      <c r="BK13">
        <v>2</v>
      </c>
      <c r="BL13">
        <f>Gameweek_11</f>
        <v>6</v>
      </c>
      <c r="BM13" s="6">
        <f t="shared" si="14"/>
        <v>1</v>
      </c>
      <c r="BO13" s="2" t="s">
        <v>172</v>
      </c>
      <c r="BP13" t="s">
        <v>163</v>
      </c>
      <c r="BQ13">
        <v>0</v>
      </c>
      <c r="BR13" s="7">
        <f t="shared" si="27"/>
        <v>0</v>
      </c>
      <c r="BS13">
        <v>2</v>
      </c>
      <c r="BT13" s="6">
        <f t="shared" si="15"/>
        <v>0.25</v>
      </c>
      <c r="BU13">
        <f t="shared" si="28"/>
        <v>1</v>
      </c>
      <c r="BV13">
        <v>2</v>
      </c>
      <c r="BW13">
        <f>Gameweek_12</f>
        <v>6</v>
      </c>
      <c r="BX13" s="6">
        <f t="shared" si="16"/>
        <v>1.5</v>
      </c>
      <c r="BZ13" s="2" t="s">
        <v>27</v>
      </c>
      <c r="CA13" t="s">
        <v>151</v>
      </c>
      <c r="CB13">
        <v>0</v>
      </c>
      <c r="CC13" s="7">
        <f t="shared" si="17"/>
        <v>0</v>
      </c>
      <c r="CD13">
        <v>3</v>
      </c>
      <c r="CE13" s="6">
        <f t="shared" si="18"/>
        <v>0.375</v>
      </c>
      <c r="CF13">
        <f t="shared" si="19"/>
        <v>1</v>
      </c>
      <c r="CG13">
        <v>3</v>
      </c>
      <c r="CH13">
        <f>Gameweek_13</f>
        <v>6</v>
      </c>
      <c r="CI13" s="6">
        <f t="shared" si="20"/>
        <v>1.875</v>
      </c>
      <c r="CK13" s="2" t="s">
        <v>27</v>
      </c>
      <c r="CL13" t="s">
        <v>151</v>
      </c>
      <c r="CM13">
        <v>0</v>
      </c>
      <c r="CN13" s="7">
        <f t="shared" si="21"/>
        <v>0</v>
      </c>
      <c r="CO13">
        <v>3</v>
      </c>
      <c r="CP13" s="6">
        <f t="shared" si="22"/>
        <v>0.375</v>
      </c>
      <c r="CQ13">
        <f t="shared" si="23"/>
        <v>1</v>
      </c>
      <c r="CR13">
        <v>8</v>
      </c>
      <c r="CS13">
        <f>Gameweek_13</f>
        <v>6</v>
      </c>
      <c r="CT13" s="6">
        <f t="shared" si="24"/>
        <v>5</v>
      </c>
    </row>
    <row r="14" spans="1:98" x14ac:dyDescent="0.2">
      <c r="A14" s="2" t="s">
        <v>9</v>
      </c>
      <c r="B14" s="3">
        <v>77.8</v>
      </c>
      <c r="C14" s="3">
        <v>0</v>
      </c>
      <c r="D14" s="6">
        <f t="shared" si="25"/>
        <v>0</v>
      </c>
      <c r="E14" s="6">
        <v>6</v>
      </c>
      <c r="F14" s="6">
        <f t="shared" si="26"/>
        <v>0.75</v>
      </c>
      <c r="G14" s="3">
        <v>1</v>
      </c>
      <c r="H14" s="3">
        <v>1</v>
      </c>
      <c r="I14" s="3">
        <f>Color</f>
        <v>6</v>
      </c>
      <c r="J14" s="6">
        <f t="shared" si="29"/>
        <v>0.25</v>
      </c>
      <c r="K14" s="6"/>
      <c r="L14" s="2" t="s">
        <v>32</v>
      </c>
      <c r="M14" s="3">
        <v>55.56</v>
      </c>
      <c r="N14" s="3">
        <v>0</v>
      </c>
      <c r="O14" s="7">
        <f t="shared" si="0"/>
        <v>0</v>
      </c>
      <c r="P14" s="8">
        <v>4</v>
      </c>
      <c r="Q14" s="6">
        <f t="shared" si="1"/>
        <v>0.5</v>
      </c>
      <c r="R14" s="3">
        <v>1</v>
      </c>
      <c r="S14" s="8">
        <v>2</v>
      </c>
      <c r="T14">
        <f>Get_Color</f>
        <v>6</v>
      </c>
      <c r="U14" s="6">
        <f t="shared" si="2"/>
        <v>1</v>
      </c>
      <c r="V14" s="6"/>
      <c r="W14" s="25" t="s">
        <v>52</v>
      </c>
      <c r="X14" t="s">
        <v>148</v>
      </c>
      <c r="Y14">
        <v>0</v>
      </c>
      <c r="Z14" s="7">
        <f t="shared" si="30"/>
        <v>0</v>
      </c>
      <c r="AA14">
        <v>1</v>
      </c>
      <c r="AB14" s="6">
        <f t="shared" si="3"/>
        <v>0.125</v>
      </c>
      <c r="AC14">
        <v>0</v>
      </c>
      <c r="AD14" s="8">
        <v>7</v>
      </c>
      <c r="AE14">
        <f>Gameweek_8</f>
        <v>19</v>
      </c>
      <c r="AF14" s="6">
        <f t="shared" si="4"/>
        <v>-0.875</v>
      </c>
      <c r="AH14" s="2" t="s">
        <v>27</v>
      </c>
      <c r="AI14" t="s">
        <v>151</v>
      </c>
      <c r="AJ14">
        <v>0</v>
      </c>
      <c r="AK14" s="7">
        <f t="shared" si="5"/>
        <v>0</v>
      </c>
      <c r="AL14">
        <v>5</v>
      </c>
      <c r="AM14" s="6">
        <f t="shared" si="6"/>
        <v>0.625</v>
      </c>
      <c r="AN14">
        <v>1</v>
      </c>
      <c r="AO14">
        <v>1</v>
      </c>
      <c r="AP14">
        <f>Gameweek_9</f>
        <v>6</v>
      </c>
      <c r="AQ14" s="6">
        <f t="shared" si="7"/>
        <v>0.375</v>
      </c>
      <c r="AS14" s="2" t="s">
        <v>6</v>
      </c>
      <c r="AT14" t="s">
        <v>152</v>
      </c>
      <c r="AU14">
        <v>0</v>
      </c>
      <c r="AV14" s="7">
        <f t="shared" si="8"/>
        <v>0</v>
      </c>
      <c r="AW14">
        <v>3</v>
      </c>
      <c r="AX14" s="6">
        <f t="shared" si="9"/>
        <v>0.375</v>
      </c>
      <c r="AY14">
        <v>1</v>
      </c>
      <c r="AZ14">
        <v>0</v>
      </c>
      <c r="BA14">
        <f>Gameweek_10</f>
        <v>6</v>
      </c>
      <c r="BB14" s="6">
        <f t="shared" si="10"/>
        <v>0</v>
      </c>
      <c r="BD14" s="2" t="s">
        <v>41</v>
      </c>
      <c r="BE14" t="s">
        <v>161</v>
      </c>
      <c r="BF14">
        <v>0</v>
      </c>
      <c r="BG14" s="7">
        <f t="shared" si="11"/>
        <v>0</v>
      </c>
      <c r="BH14">
        <v>4</v>
      </c>
      <c r="BI14" s="6">
        <f t="shared" si="12"/>
        <v>0.5</v>
      </c>
      <c r="BJ14">
        <f t="shared" si="13"/>
        <v>1</v>
      </c>
      <c r="BK14">
        <v>1</v>
      </c>
      <c r="BL14">
        <f>Gameweek_11</f>
        <v>6</v>
      </c>
      <c r="BM14" s="6">
        <f t="shared" si="14"/>
        <v>0.5</v>
      </c>
      <c r="BO14" s="2" t="s">
        <v>41</v>
      </c>
      <c r="BP14" t="s">
        <v>161</v>
      </c>
      <c r="BQ14">
        <v>0</v>
      </c>
      <c r="BR14" s="7">
        <f t="shared" si="27"/>
        <v>0</v>
      </c>
      <c r="BS14">
        <v>4</v>
      </c>
      <c r="BT14" s="6">
        <f t="shared" si="15"/>
        <v>0.5</v>
      </c>
      <c r="BU14">
        <f t="shared" si="28"/>
        <v>1</v>
      </c>
      <c r="BV14">
        <v>6</v>
      </c>
      <c r="BW14">
        <f>Gameweek_12</f>
        <v>6</v>
      </c>
      <c r="BX14" s="6">
        <f t="shared" si="16"/>
        <v>3</v>
      </c>
      <c r="BZ14" s="2" t="s">
        <v>9</v>
      </c>
      <c r="CA14" t="s">
        <v>150</v>
      </c>
      <c r="CB14">
        <v>0</v>
      </c>
      <c r="CC14" s="7">
        <f t="shared" si="17"/>
        <v>0</v>
      </c>
      <c r="CD14">
        <v>5</v>
      </c>
      <c r="CE14" s="6">
        <f t="shared" si="18"/>
        <v>0.625</v>
      </c>
      <c r="CF14">
        <f t="shared" si="19"/>
        <v>1</v>
      </c>
      <c r="CG14">
        <v>9</v>
      </c>
      <c r="CH14">
        <f>Gameweek_13</f>
        <v>6</v>
      </c>
      <c r="CI14" s="6">
        <f t="shared" si="20"/>
        <v>3.375</v>
      </c>
      <c r="CK14" s="2" t="s">
        <v>9</v>
      </c>
      <c r="CL14" t="s">
        <v>150</v>
      </c>
      <c r="CM14">
        <v>0</v>
      </c>
      <c r="CN14" s="7">
        <f t="shared" si="21"/>
        <v>0</v>
      </c>
      <c r="CO14">
        <v>5</v>
      </c>
      <c r="CP14" s="6">
        <f t="shared" si="22"/>
        <v>0.625</v>
      </c>
      <c r="CQ14">
        <f t="shared" si="23"/>
        <v>1</v>
      </c>
      <c r="CR14">
        <v>0</v>
      </c>
      <c r="CS14">
        <f>Gameweek_13</f>
        <v>6</v>
      </c>
      <c r="CT14" s="6">
        <f t="shared" si="24"/>
        <v>0</v>
      </c>
    </row>
    <row r="15" spans="1:98" x14ac:dyDescent="0.2">
      <c r="A15" s="2" t="s">
        <v>10</v>
      </c>
      <c r="B15" s="3">
        <v>44.4</v>
      </c>
      <c r="C15" s="3">
        <v>0</v>
      </c>
      <c r="D15" s="6">
        <f t="shared" si="25"/>
        <v>0</v>
      </c>
      <c r="E15" s="6">
        <v>3</v>
      </c>
      <c r="F15" s="6">
        <f t="shared" si="26"/>
        <v>0.375</v>
      </c>
      <c r="G15" s="3">
        <v>1</v>
      </c>
      <c r="H15" s="3">
        <v>2</v>
      </c>
      <c r="I15" s="3">
        <f>Color</f>
        <v>3</v>
      </c>
      <c r="J15" s="6">
        <f t="shared" si="29"/>
        <v>1.25</v>
      </c>
      <c r="K15" s="6"/>
      <c r="L15" s="4" t="s">
        <v>10</v>
      </c>
      <c r="M15" s="3">
        <v>44.4</v>
      </c>
      <c r="N15" s="3">
        <v>0</v>
      </c>
      <c r="O15" s="7">
        <f t="shared" si="0"/>
        <v>0</v>
      </c>
      <c r="P15" s="8">
        <v>0</v>
      </c>
      <c r="Q15" s="6">
        <f t="shared" si="1"/>
        <v>0</v>
      </c>
      <c r="R15" s="3">
        <v>0</v>
      </c>
      <c r="S15" s="8">
        <v>4</v>
      </c>
      <c r="T15">
        <f>Get_Color</f>
        <v>3</v>
      </c>
      <c r="U15" s="6">
        <f t="shared" si="2"/>
        <v>0</v>
      </c>
      <c r="V15" s="6"/>
      <c r="W15" s="25" t="s">
        <v>144</v>
      </c>
      <c r="X15" t="s">
        <v>157</v>
      </c>
      <c r="Y15">
        <v>0</v>
      </c>
      <c r="Z15" s="7">
        <f t="shared" si="30"/>
        <v>0</v>
      </c>
      <c r="AA15">
        <v>1</v>
      </c>
      <c r="AB15" s="6">
        <f t="shared" si="3"/>
        <v>0.125</v>
      </c>
      <c r="AC15">
        <v>0</v>
      </c>
      <c r="AD15" s="8">
        <v>6</v>
      </c>
      <c r="AE15">
        <f>Gameweek_8</f>
        <v>19</v>
      </c>
      <c r="AF15" s="6">
        <f t="shared" si="4"/>
        <v>-0.75</v>
      </c>
      <c r="AH15" s="2" t="s">
        <v>15</v>
      </c>
      <c r="AI15" t="s">
        <v>158</v>
      </c>
      <c r="AJ15">
        <v>0</v>
      </c>
      <c r="AK15" s="7">
        <f t="shared" si="5"/>
        <v>0</v>
      </c>
      <c r="AL15">
        <v>0</v>
      </c>
      <c r="AM15" s="6">
        <f t="shared" si="6"/>
        <v>0</v>
      </c>
      <c r="AN15">
        <v>1</v>
      </c>
      <c r="AO15">
        <v>1</v>
      </c>
      <c r="AP15">
        <f>Gameweek_9</f>
        <v>6</v>
      </c>
      <c r="AQ15" s="6">
        <f t="shared" si="7"/>
        <v>1</v>
      </c>
      <c r="AS15" s="2" t="s">
        <v>27</v>
      </c>
      <c r="AT15" t="s">
        <v>151</v>
      </c>
      <c r="AU15">
        <v>0</v>
      </c>
      <c r="AV15" s="7">
        <f t="shared" si="8"/>
        <v>0</v>
      </c>
      <c r="AW15">
        <v>3</v>
      </c>
      <c r="AX15" s="6">
        <f t="shared" si="9"/>
        <v>0.375</v>
      </c>
      <c r="AY15">
        <v>1</v>
      </c>
      <c r="AZ15">
        <v>9</v>
      </c>
      <c r="BA15">
        <f>Gameweek_10</f>
        <v>6</v>
      </c>
      <c r="BB15" s="6">
        <f t="shared" si="10"/>
        <v>5.625</v>
      </c>
      <c r="BD15" s="23" t="s">
        <v>136</v>
      </c>
      <c r="BE15" t="s">
        <v>154</v>
      </c>
      <c r="BF15">
        <v>1</v>
      </c>
      <c r="BG15" s="7">
        <f t="shared" si="11"/>
        <v>0.1111111111111111</v>
      </c>
      <c r="BH15">
        <v>2</v>
      </c>
      <c r="BI15" s="6">
        <f t="shared" si="12"/>
        <v>0.3611111111111111</v>
      </c>
      <c r="BJ15">
        <f t="shared" si="13"/>
        <v>1</v>
      </c>
      <c r="BK15">
        <v>3</v>
      </c>
      <c r="BL15">
        <f>Gameweek_11</f>
        <v>6</v>
      </c>
      <c r="BM15" s="6">
        <f t="shared" si="14"/>
        <v>1.9166666666666665</v>
      </c>
      <c r="BO15" s="23" t="s">
        <v>136</v>
      </c>
      <c r="BP15" t="s">
        <v>154</v>
      </c>
      <c r="BQ15">
        <v>1</v>
      </c>
      <c r="BR15" s="7">
        <f t="shared" si="27"/>
        <v>0.1111111111111111</v>
      </c>
      <c r="BS15">
        <v>3</v>
      </c>
      <c r="BT15" s="6">
        <f t="shared" si="15"/>
        <v>0.4861111111111111</v>
      </c>
      <c r="BU15">
        <f t="shared" si="28"/>
        <v>1</v>
      </c>
      <c r="BV15">
        <v>2</v>
      </c>
      <c r="BW15">
        <f>Gameweek_12</f>
        <v>6</v>
      </c>
      <c r="BX15" s="6">
        <f t="shared" si="16"/>
        <v>1.0277777777777777</v>
      </c>
      <c r="BZ15" s="2" t="s">
        <v>42</v>
      </c>
      <c r="CA15" t="s">
        <v>157</v>
      </c>
      <c r="CB15">
        <v>0</v>
      </c>
      <c r="CC15" s="7">
        <f t="shared" si="17"/>
        <v>0</v>
      </c>
      <c r="CD15">
        <v>5</v>
      </c>
      <c r="CE15" s="6">
        <f t="shared" si="18"/>
        <v>0.625</v>
      </c>
      <c r="CF15">
        <f t="shared" si="19"/>
        <v>1</v>
      </c>
      <c r="CG15">
        <v>1</v>
      </c>
      <c r="CH15">
        <f>Gameweek_13</f>
        <v>6</v>
      </c>
      <c r="CI15" s="6">
        <f t="shared" si="20"/>
        <v>0.375</v>
      </c>
      <c r="CK15" s="2" t="s">
        <v>42</v>
      </c>
      <c r="CL15" t="s">
        <v>157</v>
      </c>
      <c r="CM15">
        <v>0</v>
      </c>
      <c r="CN15" s="7">
        <f t="shared" si="21"/>
        <v>0</v>
      </c>
      <c r="CO15">
        <v>6</v>
      </c>
      <c r="CP15" s="6">
        <f t="shared" si="22"/>
        <v>0.75</v>
      </c>
      <c r="CQ15">
        <f t="shared" si="23"/>
        <v>1</v>
      </c>
      <c r="CR15">
        <v>0</v>
      </c>
      <c r="CS15">
        <f>Gameweek_13</f>
        <v>6</v>
      </c>
      <c r="CT15" s="6">
        <f t="shared" si="24"/>
        <v>0</v>
      </c>
    </row>
    <row r="16" spans="1:98" x14ac:dyDescent="0.2">
      <c r="A16" s="4" t="s">
        <v>11</v>
      </c>
      <c r="B16" s="3">
        <v>22.2</v>
      </c>
      <c r="C16" s="3">
        <v>0</v>
      </c>
      <c r="D16" s="6">
        <f t="shared" si="25"/>
        <v>0</v>
      </c>
      <c r="E16" s="6">
        <v>0</v>
      </c>
      <c r="F16" s="6">
        <f t="shared" si="26"/>
        <v>0</v>
      </c>
      <c r="G16" s="3">
        <v>0</v>
      </c>
      <c r="H16" s="3">
        <v>2</v>
      </c>
      <c r="I16" s="3">
        <f>Color</f>
        <v>6</v>
      </c>
      <c r="J16" s="6">
        <f t="shared" si="29"/>
        <v>0</v>
      </c>
      <c r="K16" s="6"/>
      <c r="L16" s="2" t="s">
        <v>11</v>
      </c>
      <c r="M16" s="3">
        <v>22.2</v>
      </c>
      <c r="N16" s="3">
        <v>0</v>
      </c>
      <c r="O16" s="7">
        <f t="shared" si="0"/>
        <v>0</v>
      </c>
      <c r="P16" s="8">
        <v>0</v>
      </c>
      <c r="Q16" s="6">
        <f t="shared" si="1"/>
        <v>0</v>
      </c>
      <c r="R16" s="3">
        <v>1</v>
      </c>
      <c r="S16" s="10">
        <v>6</v>
      </c>
      <c r="T16">
        <f>Get_Color</f>
        <v>6</v>
      </c>
      <c r="U16" s="6">
        <f t="shared" si="2"/>
        <v>6</v>
      </c>
      <c r="V16" s="6"/>
      <c r="W16" s="25" t="s">
        <v>137</v>
      </c>
      <c r="X16" t="s">
        <v>156</v>
      </c>
      <c r="Y16">
        <v>1</v>
      </c>
      <c r="Z16" s="7">
        <f t="shared" si="30"/>
        <v>0.1111111111111111</v>
      </c>
      <c r="AA16">
        <v>2</v>
      </c>
      <c r="AB16" s="6">
        <f t="shared" si="3"/>
        <v>0.3611111111111111</v>
      </c>
      <c r="AC16">
        <v>0</v>
      </c>
      <c r="AD16" s="8">
        <v>2</v>
      </c>
      <c r="AE16">
        <f>Gameweek_8</f>
        <v>19</v>
      </c>
      <c r="AF16" s="6">
        <f t="shared" si="4"/>
        <v>-0.72222222222222221</v>
      </c>
      <c r="AH16" s="2" t="s">
        <v>42</v>
      </c>
      <c r="AI16" t="s">
        <v>157</v>
      </c>
      <c r="AJ16">
        <v>0</v>
      </c>
      <c r="AK16" s="7">
        <f t="shared" si="5"/>
        <v>0</v>
      </c>
      <c r="AL16">
        <v>4</v>
      </c>
      <c r="AM16" s="6">
        <f t="shared" si="6"/>
        <v>0.5</v>
      </c>
      <c r="AN16">
        <v>1</v>
      </c>
      <c r="AO16">
        <v>1</v>
      </c>
      <c r="AP16">
        <f>Gameweek_9</f>
        <v>6</v>
      </c>
      <c r="AQ16" s="6">
        <f t="shared" si="7"/>
        <v>0.5</v>
      </c>
      <c r="AS16" s="23" t="s">
        <v>136</v>
      </c>
      <c r="AT16" t="s">
        <v>154</v>
      </c>
      <c r="AU16">
        <v>0</v>
      </c>
      <c r="AV16" s="7">
        <f t="shared" si="8"/>
        <v>0</v>
      </c>
      <c r="AW16">
        <v>1</v>
      </c>
      <c r="AX16" s="6">
        <f t="shared" si="9"/>
        <v>0.125</v>
      </c>
      <c r="AY16">
        <v>1</v>
      </c>
      <c r="AZ16">
        <v>2</v>
      </c>
      <c r="BA16">
        <f>Gameweek_10</f>
        <v>6</v>
      </c>
      <c r="BB16" s="6">
        <f t="shared" si="10"/>
        <v>1.75</v>
      </c>
      <c r="BD16" s="2" t="s">
        <v>14</v>
      </c>
      <c r="BE16" t="s">
        <v>156</v>
      </c>
      <c r="BF16">
        <v>0</v>
      </c>
      <c r="BG16" s="7">
        <f t="shared" si="11"/>
        <v>0</v>
      </c>
      <c r="BH16">
        <v>3</v>
      </c>
      <c r="BI16" s="6">
        <f t="shared" si="12"/>
        <v>0.375</v>
      </c>
      <c r="BJ16">
        <f t="shared" si="13"/>
        <v>1</v>
      </c>
      <c r="BK16">
        <v>-1</v>
      </c>
      <c r="BL16">
        <f>Gameweek_11</f>
        <v>6</v>
      </c>
      <c r="BM16" s="6">
        <f t="shared" si="14"/>
        <v>-0.625</v>
      </c>
      <c r="BO16" s="4" t="s">
        <v>14</v>
      </c>
      <c r="BP16" t="s">
        <v>156</v>
      </c>
      <c r="BQ16">
        <v>0</v>
      </c>
      <c r="BR16" s="7">
        <f t="shared" si="27"/>
        <v>0</v>
      </c>
      <c r="BS16">
        <v>0</v>
      </c>
      <c r="BT16" s="6">
        <f t="shared" si="15"/>
        <v>0</v>
      </c>
      <c r="BU16">
        <f t="shared" si="28"/>
        <v>0</v>
      </c>
      <c r="BV16">
        <v>0</v>
      </c>
      <c r="BW16">
        <f>Gameweek_12</f>
        <v>3</v>
      </c>
      <c r="BX16" s="6">
        <f t="shared" si="16"/>
        <v>0</v>
      </c>
      <c r="BZ16" s="2" t="s">
        <v>140</v>
      </c>
      <c r="CA16" t="s">
        <v>159</v>
      </c>
      <c r="CB16">
        <v>0</v>
      </c>
      <c r="CC16" s="7">
        <f t="shared" si="17"/>
        <v>0</v>
      </c>
      <c r="CD16">
        <v>3</v>
      </c>
      <c r="CE16" s="6">
        <f t="shared" si="18"/>
        <v>0.375</v>
      </c>
      <c r="CF16">
        <f t="shared" si="19"/>
        <v>1</v>
      </c>
      <c r="CG16">
        <v>2</v>
      </c>
      <c r="CH16">
        <f>Gameweek_13</f>
        <v>6</v>
      </c>
      <c r="CI16" s="6">
        <f t="shared" si="20"/>
        <v>1.25</v>
      </c>
      <c r="CK16" s="2" t="s">
        <v>140</v>
      </c>
      <c r="CL16" t="s">
        <v>159</v>
      </c>
      <c r="CM16">
        <v>0</v>
      </c>
      <c r="CN16" s="7">
        <f t="shared" si="21"/>
        <v>0</v>
      </c>
      <c r="CO16">
        <v>2</v>
      </c>
      <c r="CP16" s="6">
        <f t="shared" si="22"/>
        <v>0.25</v>
      </c>
      <c r="CQ16">
        <f t="shared" si="23"/>
        <v>1</v>
      </c>
      <c r="CR16">
        <v>0</v>
      </c>
      <c r="CS16">
        <f>Gameweek_13</f>
        <v>6</v>
      </c>
      <c r="CT16" s="6">
        <f t="shared" si="24"/>
        <v>0</v>
      </c>
    </row>
    <row r="17" spans="1:98" x14ac:dyDescent="0.2">
      <c r="A17" s="4" t="s">
        <v>12</v>
      </c>
      <c r="B17" s="3">
        <v>33.299999999999997</v>
      </c>
      <c r="C17" s="3">
        <v>0</v>
      </c>
      <c r="D17" s="6">
        <f t="shared" si="25"/>
        <v>0</v>
      </c>
      <c r="E17" s="6">
        <v>0</v>
      </c>
      <c r="F17" s="6">
        <f t="shared" si="26"/>
        <v>0</v>
      </c>
      <c r="G17" s="3">
        <v>0</v>
      </c>
      <c r="H17" s="3">
        <v>0</v>
      </c>
      <c r="I17" s="3">
        <f>Color</f>
        <v>6</v>
      </c>
      <c r="J17" s="6">
        <f t="shared" si="29"/>
        <v>0</v>
      </c>
      <c r="K17" s="6"/>
      <c r="L17" s="4" t="s">
        <v>12</v>
      </c>
      <c r="M17" s="3">
        <v>33.299999999999997</v>
      </c>
      <c r="N17" s="3">
        <v>0</v>
      </c>
      <c r="O17" s="7">
        <f t="shared" si="0"/>
        <v>0</v>
      </c>
      <c r="P17" s="8">
        <v>0</v>
      </c>
      <c r="Q17" s="6">
        <f t="shared" si="1"/>
        <v>0</v>
      </c>
      <c r="R17" s="3">
        <v>0</v>
      </c>
      <c r="S17" s="8">
        <v>0</v>
      </c>
      <c r="T17">
        <f>Get_Color</f>
        <v>3</v>
      </c>
      <c r="U17" s="6">
        <f t="shared" si="2"/>
        <v>0</v>
      </c>
      <c r="V17" s="6"/>
      <c r="W17" s="25" t="s">
        <v>138</v>
      </c>
      <c r="X17" t="s">
        <v>157</v>
      </c>
      <c r="Y17">
        <v>0</v>
      </c>
      <c r="Z17" s="7">
        <f t="shared" si="30"/>
        <v>0</v>
      </c>
      <c r="AA17">
        <v>1</v>
      </c>
      <c r="AB17" s="6">
        <f t="shared" si="3"/>
        <v>0.125</v>
      </c>
      <c r="AC17">
        <v>0</v>
      </c>
      <c r="AD17" s="8">
        <v>5</v>
      </c>
      <c r="AE17">
        <f>Gameweek_8</f>
        <v>19</v>
      </c>
      <c r="AF17" s="6">
        <f t="shared" si="4"/>
        <v>-0.625</v>
      </c>
      <c r="AH17" s="4" t="s">
        <v>14</v>
      </c>
      <c r="AI17" t="s">
        <v>156</v>
      </c>
      <c r="AJ17">
        <v>0</v>
      </c>
      <c r="AK17" s="7">
        <f t="shared" si="5"/>
        <v>0</v>
      </c>
      <c r="AL17">
        <v>4</v>
      </c>
      <c r="AM17" s="6">
        <f t="shared" si="6"/>
        <v>0.5</v>
      </c>
      <c r="AN17">
        <v>0</v>
      </c>
      <c r="AO17">
        <v>4</v>
      </c>
      <c r="AP17">
        <f>Gameweek_9</f>
        <v>3</v>
      </c>
      <c r="AQ17" s="6">
        <f t="shared" si="7"/>
        <v>-2</v>
      </c>
      <c r="AS17" s="4" t="s">
        <v>10</v>
      </c>
      <c r="AT17" t="s">
        <v>149</v>
      </c>
      <c r="AU17">
        <v>0</v>
      </c>
      <c r="AV17" s="7">
        <f t="shared" si="8"/>
        <v>0</v>
      </c>
      <c r="AW17">
        <v>3</v>
      </c>
      <c r="AX17" s="6">
        <f t="shared" si="9"/>
        <v>0.375</v>
      </c>
      <c r="AY17">
        <v>0</v>
      </c>
      <c r="AZ17">
        <v>6</v>
      </c>
      <c r="BA17">
        <f>Gameweek_10</f>
        <v>3</v>
      </c>
      <c r="BB17" s="6">
        <f t="shared" si="10"/>
        <v>-2.25</v>
      </c>
      <c r="BD17" s="4" t="s">
        <v>10</v>
      </c>
      <c r="BE17" t="s">
        <v>149</v>
      </c>
      <c r="BF17">
        <v>0</v>
      </c>
      <c r="BG17" s="7">
        <f t="shared" si="11"/>
        <v>0</v>
      </c>
      <c r="BH17">
        <v>2</v>
      </c>
      <c r="BI17" s="6">
        <f t="shared" si="12"/>
        <v>0.25</v>
      </c>
      <c r="BJ17">
        <f t="shared" si="13"/>
        <v>0</v>
      </c>
      <c r="BK17">
        <v>6</v>
      </c>
      <c r="BL17">
        <f>Gameweek_11</f>
        <v>3</v>
      </c>
      <c r="BM17" s="6">
        <f t="shared" si="14"/>
        <v>-1.5</v>
      </c>
      <c r="BO17" s="2" t="s">
        <v>10</v>
      </c>
      <c r="BP17" t="s">
        <v>149</v>
      </c>
      <c r="BQ17">
        <v>0</v>
      </c>
      <c r="BR17" s="7">
        <f t="shared" si="27"/>
        <v>0</v>
      </c>
      <c r="BS17">
        <v>2</v>
      </c>
      <c r="BT17" s="6">
        <f t="shared" si="15"/>
        <v>0.25</v>
      </c>
      <c r="BU17">
        <f t="shared" si="28"/>
        <v>1</v>
      </c>
      <c r="BV17">
        <v>1</v>
      </c>
      <c r="BW17">
        <f>Gameweek_12</f>
        <v>6</v>
      </c>
      <c r="BX17" s="6">
        <f t="shared" si="16"/>
        <v>0.75</v>
      </c>
      <c r="BZ17" s="24" t="s">
        <v>174</v>
      </c>
      <c r="CA17" t="s">
        <v>229</v>
      </c>
      <c r="CB17">
        <v>0</v>
      </c>
      <c r="CC17" s="7">
        <f t="shared" si="17"/>
        <v>0</v>
      </c>
      <c r="CD17">
        <v>2</v>
      </c>
      <c r="CE17" s="6">
        <f t="shared" si="18"/>
        <v>0.25</v>
      </c>
      <c r="CF17">
        <f t="shared" si="19"/>
        <v>0</v>
      </c>
      <c r="CG17">
        <v>-4</v>
      </c>
      <c r="CH17">
        <f>Gameweek_13</f>
        <v>40</v>
      </c>
      <c r="CI17" s="6">
        <f t="shared" si="20"/>
        <v>1</v>
      </c>
      <c r="CK17" s="24" t="s">
        <v>174</v>
      </c>
      <c r="CL17" t="s">
        <v>229</v>
      </c>
      <c r="CM17">
        <v>0</v>
      </c>
      <c r="CN17" s="7">
        <f t="shared" si="21"/>
        <v>0</v>
      </c>
      <c r="CO17">
        <v>1</v>
      </c>
      <c r="CP17" s="6">
        <f t="shared" si="22"/>
        <v>0.125</v>
      </c>
      <c r="CQ17">
        <f t="shared" si="23"/>
        <v>0</v>
      </c>
      <c r="CR17">
        <v>-4</v>
      </c>
      <c r="CS17">
        <f>Gameweek_13</f>
        <v>40</v>
      </c>
      <c r="CT17" s="6">
        <f t="shared" si="24"/>
        <v>0.5</v>
      </c>
    </row>
    <row r="18" spans="1:98" x14ac:dyDescent="0.2">
      <c r="A18" s="2" t="s">
        <v>13</v>
      </c>
      <c r="B18" s="3">
        <v>11.1</v>
      </c>
      <c r="C18" s="3">
        <v>0</v>
      </c>
      <c r="D18" s="6">
        <f t="shared" si="25"/>
        <v>0</v>
      </c>
      <c r="E18" s="6">
        <v>0</v>
      </c>
      <c r="F18" s="6">
        <f t="shared" si="26"/>
        <v>0</v>
      </c>
      <c r="G18" s="3">
        <v>1</v>
      </c>
      <c r="H18" s="3">
        <v>6</v>
      </c>
      <c r="I18" s="3">
        <f>Color</f>
        <v>3</v>
      </c>
      <c r="J18" s="6">
        <f t="shared" si="29"/>
        <v>6</v>
      </c>
      <c r="K18" s="6"/>
      <c r="L18" s="2" t="s">
        <v>13</v>
      </c>
      <c r="M18" s="3">
        <v>11.1</v>
      </c>
      <c r="N18" s="3">
        <v>0</v>
      </c>
      <c r="O18" s="7">
        <f t="shared" si="0"/>
        <v>0</v>
      </c>
      <c r="P18" s="8">
        <v>0</v>
      </c>
      <c r="Q18" s="6">
        <f t="shared" si="1"/>
        <v>0</v>
      </c>
      <c r="R18" s="3">
        <v>1</v>
      </c>
      <c r="S18" s="11">
        <v>2</v>
      </c>
      <c r="T18">
        <f>Get_Color</f>
        <v>6</v>
      </c>
      <c r="U18" s="6">
        <f t="shared" si="2"/>
        <v>2</v>
      </c>
      <c r="V18" s="6"/>
      <c r="W18" s="25" t="s">
        <v>58</v>
      </c>
      <c r="X18" t="s">
        <v>164</v>
      </c>
      <c r="Y18">
        <v>0</v>
      </c>
      <c r="AA18">
        <v>2</v>
      </c>
      <c r="AB18" s="6">
        <f t="shared" si="3"/>
        <v>0.25</v>
      </c>
      <c r="AC18">
        <v>0</v>
      </c>
      <c r="AD18" s="8">
        <v>2</v>
      </c>
      <c r="AE18">
        <f>Gameweek_8</f>
        <v>19</v>
      </c>
      <c r="AF18" s="6">
        <f t="shared" si="4"/>
        <v>-0.5</v>
      </c>
      <c r="AH18" s="4" t="s">
        <v>7</v>
      </c>
      <c r="AI18" t="s">
        <v>152</v>
      </c>
      <c r="AJ18">
        <v>0</v>
      </c>
      <c r="AK18" s="7">
        <f t="shared" si="5"/>
        <v>0</v>
      </c>
      <c r="AL18">
        <v>0</v>
      </c>
      <c r="AM18" s="6">
        <f t="shared" si="6"/>
        <v>0</v>
      </c>
      <c r="AN18">
        <v>0</v>
      </c>
      <c r="AO18">
        <v>1</v>
      </c>
      <c r="AP18">
        <f>Gameweek_9</f>
        <v>3</v>
      </c>
      <c r="AQ18" s="6">
        <f t="shared" si="7"/>
        <v>0</v>
      </c>
      <c r="AS18" s="4" t="s">
        <v>11</v>
      </c>
      <c r="AT18" t="s">
        <v>156</v>
      </c>
      <c r="AU18">
        <v>0</v>
      </c>
      <c r="AV18" s="7">
        <f t="shared" si="8"/>
        <v>0</v>
      </c>
      <c r="AW18">
        <v>0</v>
      </c>
      <c r="AX18" s="6">
        <f t="shared" si="9"/>
        <v>0</v>
      </c>
      <c r="AY18">
        <v>0</v>
      </c>
      <c r="AZ18">
        <v>0</v>
      </c>
      <c r="BA18">
        <f>Gameweek_10</f>
        <v>3</v>
      </c>
      <c r="BB18" s="6">
        <f t="shared" si="10"/>
        <v>0</v>
      </c>
      <c r="BD18" s="4" t="s">
        <v>7</v>
      </c>
      <c r="BE18" t="s">
        <v>152</v>
      </c>
      <c r="BF18">
        <v>0</v>
      </c>
      <c r="BG18" s="7">
        <f t="shared" si="11"/>
        <v>0</v>
      </c>
      <c r="BH18">
        <v>0</v>
      </c>
      <c r="BI18" s="6">
        <f t="shared" si="12"/>
        <v>0</v>
      </c>
      <c r="BJ18">
        <f t="shared" si="13"/>
        <v>0</v>
      </c>
      <c r="BK18">
        <v>3</v>
      </c>
      <c r="BL18">
        <f>Gameweek_11</f>
        <v>3</v>
      </c>
      <c r="BM18" s="6">
        <f t="shared" si="14"/>
        <v>0</v>
      </c>
      <c r="BO18" s="4" t="s">
        <v>7</v>
      </c>
      <c r="BP18" t="s">
        <v>152</v>
      </c>
      <c r="BQ18">
        <v>0</v>
      </c>
      <c r="BR18" s="7">
        <f t="shared" si="27"/>
        <v>0</v>
      </c>
      <c r="BS18">
        <v>0</v>
      </c>
      <c r="BT18" s="6">
        <f t="shared" si="15"/>
        <v>0</v>
      </c>
      <c r="BU18">
        <f t="shared" si="28"/>
        <v>0</v>
      </c>
      <c r="BV18">
        <v>2</v>
      </c>
      <c r="BW18">
        <f>Gameweek_12</f>
        <v>3</v>
      </c>
      <c r="BX18" s="6">
        <f t="shared" si="16"/>
        <v>0</v>
      </c>
      <c r="BZ18" s="25" t="s">
        <v>203</v>
      </c>
      <c r="CA18" t="s">
        <v>161</v>
      </c>
      <c r="CB18">
        <v>0</v>
      </c>
      <c r="CC18" s="7">
        <f t="shared" si="17"/>
        <v>0</v>
      </c>
      <c r="CD18">
        <v>1</v>
      </c>
      <c r="CE18" s="6">
        <f t="shared" si="18"/>
        <v>0.125</v>
      </c>
      <c r="CF18">
        <f t="shared" si="19"/>
        <v>0</v>
      </c>
      <c r="CG18">
        <v>5</v>
      </c>
      <c r="CH18">
        <f>Gameweek_13</f>
        <v>19</v>
      </c>
      <c r="CI18" s="6">
        <f t="shared" si="20"/>
        <v>-0.625</v>
      </c>
      <c r="CK18" s="25" t="s">
        <v>203</v>
      </c>
      <c r="CL18" t="s">
        <v>161</v>
      </c>
      <c r="CM18">
        <v>0</v>
      </c>
      <c r="CN18" s="7">
        <f t="shared" si="21"/>
        <v>0</v>
      </c>
      <c r="CO18">
        <v>1</v>
      </c>
      <c r="CP18" s="6">
        <f t="shared" si="22"/>
        <v>0.125</v>
      </c>
      <c r="CQ18">
        <f t="shared" si="23"/>
        <v>0</v>
      </c>
      <c r="CR18">
        <v>0</v>
      </c>
      <c r="CS18">
        <f>Gameweek_13</f>
        <v>19</v>
      </c>
      <c r="CT18" s="6">
        <f t="shared" si="24"/>
        <v>0</v>
      </c>
    </row>
    <row r="19" spans="1:98" x14ac:dyDescent="0.2">
      <c r="A19" s="2" t="s">
        <v>14</v>
      </c>
      <c r="B19" s="3">
        <v>66.7</v>
      </c>
      <c r="C19" s="3">
        <v>0</v>
      </c>
      <c r="D19" s="6">
        <f t="shared" si="25"/>
        <v>0</v>
      </c>
      <c r="E19" s="6">
        <v>5</v>
      </c>
      <c r="F19" s="6">
        <f t="shared" si="26"/>
        <v>0.625</v>
      </c>
      <c r="G19" s="3">
        <v>1</v>
      </c>
      <c r="H19" s="3">
        <v>2</v>
      </c>
      <c r="I19" s="3">
        <f>Color</f>
        <v>3</v>
      </c>
      <c r="J19" s="6">
        <f t="shared" si="29"/>
        <v>0.75</v>
      </c>
      <c r="K19" s="6"/>
      <c r="L19" s="2" t="s">
        <v>14</v>
      </c>
      <c r="M19" s="3">
        <v>66.7</v>
      </c>
      <c r="N19" s="3">
        <v>0</v>
      </c>
      <c r="O19" s="7">
        <f t="shared" si="0"/>
        <v>0</v>
      </c>
      <c r="P19" s="8">
        <v>4</v>
      </c>
      <c r="Q19" s="6">
        <f t="shared" si="1"/>
        <v>0.5</v>
      </c>
      <c r="R19" s="3">
        <v>1</v>
      </c>
      <c r="S19" s="8">
        <v>6</v>
      </c>
      <c r="T19">
        <f>Get_Color</f>
        <v>6</v>
      </c>
      <c r="U19" s="6">
        <f t="shared" si="2"/>
        <v>3</v>
      </c>
      <c r="V19" s="6"/>
      <c r="W19" s="25" t="s">
        <v>140</v>
      </c>
      <c r="X19" t="s">
        <v>159</v>
      </c>
      <c r="Y19">
        <v>0</v>
      </c>
      <c r="Z19" s="7">
        <f t="shared" ref="Z19:Z62" si="31">(Y19/9)</f>
        <v>0</v>
      </c>
      <c r="AA19">
        <v>2</v>
      </c>
      <c r="AB19" s="6">
        <f t="shared" si="3"/>
        <v>0.25</v>
      </c>
      <c r="AC19">
        <v>0</v>
      </c>
      <c r="AD19" s="8">
        <v>2</v>
      </c>
      <c r="AE19">
        <f>Gameweek_8</f>
        <v>19</v>
      </c>
      <c r="AF19" s="6">
        <f t="shared" si="4"/>
        <v>-0.5</v>
      </c>
      <c r="AH19" s="4" t="s">
        <v>11</v>
      </c>
      <c r="AI19" t="s">
        <v>156</v>
      </c>
      <c r="AJ19">
        <v>0</v>
      </c>
      <c r="AK19" s="7">
        <f t="shared" si="5"/>
        <v>0</v>
      </c>
      <c r="AL19">
        <v>0</v>
      </c>
      <c r="AM19" s="6">
        <f t="shared" si="6"/>
        <v>0</v>
      </c>
      <c r="AN19">
        <v>0</v>
      </c>
      <c r="AO19">
        <v>0</v>
      </c>
      <c r="AP19">
        <f>Gameweek_9</f>
        <v>3</v>
      </c>
      <c r="AQ19" s="6">
        <f t="shared" si="7"/>
        <v>0</v>
      </c>
      <c r="AS19" s="4" t="s">
        <v>7</v>
      </c>
      <c r="AT19" t="s">
        <v>152</v>
      </c>
      <c r="AU19">
        <v>0</v>
      </c>
      <c r="AV19" s="7">
        <f t="shared" si="8"/>
        <v>0</v>
      </c>
      <c r="AW19">
        <v>0</v>
      </c>
      <c r="AX19" s="6">
        <f t="shared" si="9"/>
        <v>0</v>
      </c>
      <c r="AY19">
        <v>0</v>
      </c>
      <c r="AZ19">
        <v>0</v>
      </c>
      <c r="BA19">
        <f>Gameweek_10</f>
        <v>3</v>
      </c>
      <c r="BB19" s="6">
        <f t="shared" si="10"/>
        <v>0</v>
      </c>
      <c r="BD19" s="4" t="s">
        <v>15</v>
      </c>
      <c r="BE19" t="s">
        <v>158</v>
      </c>
      <c r="BF19">
        <v>0</v>
      </c>
      <c r="BG19" s="7">
        <f t="shared" si="11"/>
        <v>0</v>
      </c>
      <c r="BH19">
        <v>1</v>
      </c>
      <c r="BI19" s="6">
        <f t="shared" si="12"/>
        <v>0.125</v>
      </c>
      <c r="BJ19">
        <f t="shared" si="13"/>
        <v>0</v>
      </c>
      <c r="BK19">
        <v>11</v>
      </c>
      <c r="BL19">
        <f>Gameweek_11</f>
        <v>3</v>
      </c>
      <c r="BM19" s="6">
        <f t="shared" si="14"/>
        <v>-1.375</v>
      </c>
      <c r="BO19" s="2" t="s">
        <v>15</v>
      </c>
      <c r="BP19" t="s">
        <v>158</v>
      </c>
      <c r="BQ19">
        <v>0</v>
      </c>
      <c r="BR19" s="7">
        <f t="shared" si="27"/>
        <v>0</v>
      </c>
      <c r="BS19">
        <v>2</v>
      </c>
      <c r="BT19" s="6">
        <f t="shared" si="15"/>
        <v>0.25</v>
      </c>
      <c r="BU19">
        <f t="shared" si="28"/>
        <v>1</v>
      </c>
      <c r="BV19">
        <v>5</v>
      </c>
      <c r="BW19">
        <f>Gameweek_12</f>
        <v>6</v>
      </c>
      <c r="BX19" s="6">
        <f t="shared" si="16"/>
        <v>3.75</v>
      </c>
      <c r="BZ19" s="25" t="s">
        <v>224</v>
      </c>
      <c r="CA19" t="s">
        <v>161</v>
      </c>
      <c r="CB19">
        <v>0</v>
      </c>
      <c r="CC19" s="7">
        <f t="shared" si="17"/>
        <v>0</v>
      </c>
      <c r="CD19">
        <v>1</v>
      </c>
      <c r="CE19" s="6">
        <f t="shared" si="18"/>
        <v>0.125</v>
      </c>
      <c r="CF19">
        <f t="shared" si="19"/>
        <v>0</v>
      </c>
      <c r="CG19">
        <v>9</v>
      </c>
      <c r="CH19">
        <f>Gameweek_13</f>
        <v>19</v>
      </c>
      <c r="CI19" s="6">
        <f t="shared" si="20"/>
        <v>-1.125</v>
      </c>
      <c r="CK19" s="25" t="s">
        <v>224</v>
      </c>
      <c r="CL19" t="s">
        <v>161</v>
      </c>
      <c r="CM19">
        <v>0</v>
      </c>
      <c r="CN19" s="7">
        <f t="shared" si="21"/>
        <v>0</v>
      </c>
      <c r="CO19">
        <v>1</v>
      </c>
      <c r="CP19" s="6">
        <f t="shared" si="22"/>
        <v>0.125</v>
      </c>
      <c r="CQ19">
        <f t="shared" si="23"/>
        <v>0</v>
      </c>
      <c r="CR19">
        <v>0</v>
      </c>
      <c r="CS19">
        <f>Gameweek_13</f>
        <v>19</v>
      </c>
      <c r="CT19" s="6">
        <f t="shared" si="24"/>
        <v>0</v>
      </c>
    </row>
    <row r="20" spans="1:98" x14ac:dyDescent="0.2">
      <c r="A20" s="4" t="s">
        <v>15</v>
      </c>
      <c r="B20" s="3">
        <v>33.299999999999997</v>
      </c>
      <c r="C20" s="3">
        <v>0</v>
      </c>
      <c r="D20" s="6">
        <f t="shared" si="25"/>
        <v>0</v>
      </c>
      <c r="E20" s="6">
        <v>0</v>
      </c>
      <c r="F20" s="6">
        <f t="shared" si="26"/>
        <v>0</v>
      </c>
      <c r="G20" s="3">
        <v>0</v>
      </c>
      <c r="H20" s="3">
        <v>3</v>
      </c>
      <c r="I20" s="3">
        <f>Color</f>
        <v>6</v>
      </c>
      <c r="J20" s="6">
        <f t="shared" si="29"/>
        <v>0</v>
      </c>
      <c r="K20" s="6"/>
      <c r="L20" s="4" t="s">
        <v>15</v>
      </c>
      <c r="M20" s="3">
        <v>44.44</v>
      </c>
      <c r="N20" s="3">
        <v>0</v>
      </c>
      <c r="O20" s="7">
        <f t="shared" si="0"/>
        <v>0</v>
      </c>
      <c r="P20" s="8">
        <v>0</v>
      </c>
      <c r="Q20" s="6">
        <f t="shared" si="1"/>
        <v>0</v>
      </c>
      <c r="R20" s="3">
        <v>0</v>
      </c>
      <c r="S20" s="8">
        <v>2</v>
      </c>
      <c r="T20">
        <f>Get_Color</f>
        <v>3</v>
      </c>
      <c r="U20" s="6">
        <f t="shared" si="2"/>
        <v>0</v>
      </c>
      <c r="V20" s="6"/>
      <c r="W20" s="25" t="s">
        <v>47</v>
      </c>
      <c r="X20" t="s">
        <v>160</v>
      </c>
      <c r="Y20">
        <v>0</v>
      </c>
      <c r="Z20" s="7">
        <f t="shared" si="31"/>
        <v>0</v>
      </c>
      <c r="AA20">
        <v>2</v>
      </c>
      <c r="AB20" s="6">
        <f t="shared" si="3"/>
        <v>0.25</v>
      </c>
      <c r="AC20">
        <v>0</v>
      </c>
      <c r="AD20" s="8">
        <v>2</v>
      </c>
      <c r="AE20">
        <f>Gameweek_8</f>
        <v>19</v>
      </c>
      <c r="AF20" s="6">
        <f t="shared" si="4"/>
        <v>-0.5</v>
      </c>
      <c r="AH20" s="4" t="s">
        <v>12</v>
      </c>
      <c r="AI20" t="s">
        <v>151</v>
      </c>
      <c r="AJ20">
        <v>0</v>
      </c>
      <c r="AK20" s="7">
        <f t="shared" si="5"/>
        <v>0</v>
      </c>
      <c r="AL20">
        <v>0</v>
      </c>
      <c r="AM20" s="6">
        <f t="shared" si="6"/>
        <v>0</v>
      </c>
      <c r="AN20">
        <v>0</v>
      </c>
      <c r="AO20">
        <v>0</v>
      </c>
      <c r="AP20">
        <f>Gameweek_9</f>
        <v>3</v>
      </c>
      <c r="AQ20" s="6">
        <f t="shared" si="7"/>
        <v>0</v>
      </c>
      <c r="AS20" s="4" t="s">
        <v>14</v>
      </c>
      <c r="AT20" t="s">
        <v>156</v>
      </c>
      <c r="AU20">
        <v>0</v>
      </c>
      <c r="AV20" s="7">
        <f t="shared" si="8"/>
        <v>0</v>
      </c>
      <c r="AW20">
        <v>2</v>
      </c>
      <c r="AX20" s="6">
        <f t="shared" si="9"/>
        <v>0.25</v>
      </c>
      <c r="AY20">
        <v>0</v>
      </c>
      <c r="AZ20">
        <v>1</v>
      </c>
      <c r="BA20">
        <f>Gameweek_10</f>
        <v>3</v>
      </c>
      <c r="BB20" s="6">
        <f t="shared" si="10"/>
        <v>-0.25</v>
      </c>
      <c r="BD20" s="4" t="s">
        <v>11</v>
      </c>
      <c r="BE20" t="s">
        <v>156</v>
      </c>
      <c r="BF20">
        <v>0</v>
      </c>
      <c r="BG20" s="7">
        <f t="shared" si="11"/>
        <v>0</v>
      </c>
      <c r="BH20">
        <v>1</v>
      </c>
      <c r="BI20" s="6">
        <f t="shared" si="12"/>
        <v>0.125</v>
      </c>
      <c r="BJ20">
        <f t="shared" si="13"/>
        <v>0</v>
      </c>
      <c r="BK20">
        <v>2</v>
      </c>
      <c r="BL20">
        <f>Gameweek_11</f>
        <v>3</v>
      </c>
      <c r="BM20" s="6">
        <f t="shared" si="14"/>
        <v>-0.25</v>
      </c>
      <c r="BO20" s="4" t="s">
        <v>11</v>
      </c>
      <c r="BP20" t="s">
        <v>156</v>
      </c>
      <c r="BQ20">
        <v>0</v>
      </c>
      <c r="BR20" s="7">
        <f t="shared" si="27"/>
        <v>0</v>
      </c>
      <c r="BS20">
        <v>1</v>
      </c>
      <c r="BT20" s="6">
        <f t="shared" si="15"/>
        <v>0.125</v>
      </c>
      <c r="BU20">
        <f t="shared" si="28"/>
        <v>0</v>
      </c>
      <c r="BV20">
        <v>1</v>
      </c>
      <c r="BW20">
        <f>Gameweek_12</f>
        <v>3</v>
      </c>
      <c r="BX20" s="6">
        <f t="shared" si="16"/>
        <v>-0.125</v>
      </c>
      <c r="BZ20" s="25" t="s">
        <v>48</v>
      </c>
      <c r="CA20" t="s">
        <v>155</v>
      </c>
      <c r="CB20">
        <v>0</v>
      </c>
      <c r="CC20" s="7">
        <f t="shared" si="17"/>
        <v>0</v>
      </c>
      <c r="CD20">
        <v>3</v>
      </c>
      <c r="CE20" s="6">
        <f t="shared" si="18"/>
        <v>0.375</v>
      </c>
      <c r="CF20">
        <f t="shared" si="19"/>
        <v>0</v>
      </c>
      <c r="CG20">
        <v>2</v>
      </c>
      <c r="CH20">
        <f>Gameweek_13</f>
        <v>19</v>
      </c>
      <c r="CI20" s="6">
        <f t="shared" si="20"/>
        <v>-0.75</v>
      </c>
      <c r="CK20" s="25" t="s">
        <v>48</v>
      </c>
      <c r="CL20" t="s">
        <v>155</v>
      </c>
      <c r="CM20">
        <v>0</v>
      </c>
      <c r="CN20" s="7">
        <f t="shared" si="21"/>
        <v>0</v>
      </c>
      <c r="CO20">
        <v>3</v>
      </c>
      <c r="CP20" s="6">
        <f t="shared" si="22"/>
        <v>0.375</v>
      </c>
      <c r="CQ20">
        <f t="shared" si="23"/>
        <v>0</v>
      </c>
      <c r="CR20">
        <v>0</v>
      </c>
      <c r="CS20">
        <f>Gameweek_13</f>
        <v>19</v>
      </c>
      <c r="CT20" s="6">
        <f t="shared" si="24"/>
        <v>0</v>
      </c>
    </row>
    <row r="21" spans="1:98" x14ac:dyDescent="0.2">
      <c r="L21" s="25" t="s">
        <v>34</v>
      </c>
      <c r="N21" s="3">
        <v>5</v>
      </c>
      <c r="O21" s="7">
        <f t="shared" si="0"/>
        <v>0.55555555555555558</v>
      </c>
      <c r="P21" s="8">
        <v>7</v>
      </c>
      <c r="Q21" s="6">
        <f t="shared" si="1"/>
        <v>1.4305555555555556</v>
      </c>
      <c r="R21" s="3">
        <v>0</v>
      </c>
      <c r="S21" s="8">
        <v>2</v>
      </c>
      <c r="T21">
        <f>Get_Color</f>
        <v>19</v>
      </c>
      <c r="U21" s="6">
        <f t="shared" si="2"/>
        <v>-2.8611111111111112</v>
      </c>
      <c r="V21" s="6"/>
      <c r="W21" s="25" t="s">
        <v>41</v>
      </c>
      <c r="X21" t="s">
        <v>161</v>
      </c>
      <c r="Y21">
        <v>0</v>
      </c>
      <c r="Z21" s="7">
        <f t="shared" si="31"/>
        <v>0</v>
      </c>
      <c r="AA21">
        <v>2</v>
      </c>
      <c r="AB21" s="6">
        <f t="shared" si="3"/>
        <v>0.25</v>
      </c>
      <c r="AC21">
        <v>0</v>
      </c>
      <c r="AD21" s="8">
        <v>2</v>
      </c>
      <c r="AE21">
        <f>Gameweek_8</f>
        <v>19</v>
      </c>
      <c r="AF21" s="6">
        <f t="shared" si="4"/>
        <v>-0.5</v>
      </c>
      <c r="AH21" s="25" t="s">
        <v>144</v>
      </c>
      <c r="AI21" t="s">
        <v>157</v>
      </c>
      <c r="AJ21">
        <v>0</v>
      </c>
      <c r="AK21" s="7">
        <f t="shared" si="5"/>
        <v>0</v>
      </c>
      <c r="AL21">
        <v>1</v>
      </c>
      <c r="AM21" s="6">
        <f t="shared" si="6"/>
        <v>0.125</v>
      </c>
      <c r="AN21">
        <v>0</v>
      </c>
      <c r="AO21">
        <v>18</v>
      </c>
      <c r="AP21">
        <f>Gameweek_9</f>
        <v>19</v>
      </c>
      <c r="AQ21" s="6">
        <f t="shared" si="7"/>
        <v>-2.25</v>
      </c>
      <c r="AS21" s="25" t="s">
        <v>143</v>
      </c>
      <c r="AT21" t="s">
        <v>157</v>
      </c>
      <c r="AU21">
        <v>0</v>
      </c>
      <c r="AV21" s="7">
        <f t="shared" si="8"/>
        <v>0</v>
      </c>
      <c r="AW21">
        <v>1</v>
      </c>
      <c r="AX21" s="6">
        <f t="shared" si="9"/>
        <v>0.125</v>
      </c>
      <c r="AY21">
        <v>0</v>
      </c>
      <c r="AZ21">
        <v>1</v>
      </c>
      <c r="BA21">
        <f>Gameweek_10</f>
        <v>19</v>
      </c>
      <c r="BB21" s="6">
        <f t="shared" si="10"/>
        <v>-0.125</v>
      </c>
      <c r="BD21" s="25" t="s">
        <v>140</v>
      </c>
      <c r="BE21" t="s">
        <v>159</v>
      </c>
      <c r="BF21">
        <v>0</v>
      </c>
      <c r="BG21" s="7">
        <f t="shared" si="11"/>
        <v>0</v>
      </c>
      <c r="BH21">
        <v>1</v>
      </c>
      <c r="BI21" s="6">
        <f t="shared" si="12"/>
        <v>0.125</v>
      </c>
      <c r="BJ21">
        <f t="shared" si="13"/>
        <v>1</v>
      </c>
      <c r="BK21">
        <v>2</v>
      </c>
      <c r="BL21">
        <f>Gameweek_11</f>
        <v>19</v>
      </c>
      <c r="BM21" s="6">
        <f t="shared" si="14"/>
        <v>1.75</v>
      </c>
      <c r="BO21" s="25" t="s">
        <v>140</v>
      </c>
      <c r="BP21" t="s">
        <v>159</v>
      </c>
      <c r="BQ21">
        <v>0</v>
      </c>
      <c r="BR21" s="7">
        <f t="shared" si="27"/>
        <v>0</v>
      </c>
      <c r="BS21">
        <v>3</v>
      </c>
      <c r="BT21" s="6">
        <f t="shared" si="15"/>
        <v>0.375</v>
      </c>
      <c r="BU21">
        <f t="shared" si="28"/>
        <v>0</v>
      </c>
      <c r="BV21">
        <v>2</v>
      </c>
      <c r="BW21">
        <f>Gameweek_12</f>
        <v>19</v>
      </c>
      <c r="BX21" s="6">
        <f t="shared" si="16"/>
        <v>-0.75</v>
      </c>
      <c r="BZ21" s="25" t="s">
        <v>127</v>
      </c>
      <c r="CA21" t="s">
        <v>155</v>
      </c>
      <c r="CB21">
        <v>0</v>
      </c>
      <c r="CC21" s="7">
        <f t="shared" si="17"/>
        <v>0</v>
      </c>
      <c r="CD21">
        <v>2</v>
      </c>
      <c r="CE21" s="6">
        <f t="shared" si="18"/>
        <v>0.25</v>
      </c>
      <c r="CF21">
        <f t="shared" si="19"/>
        <v>0</v>
      </c>
      <c r="CG21">
        <v>0</v>
      </c>
      <c r="CH21">
        <f>Gameweek_13</f>
        <v>19</v>
      </c>
      <c r="CI21" s="6">
        <f t="shared" si="20"/>
        <v>0</v>
      </c>
      <c r="CK21" s="25" t="s">
        <v>127</v>
      </c>
      <c r="CL21" t="s">
        <v>155</v>
      </c>
      <c r="CM21">
        <v>0</v>
      </c>
      <c r="CN21" s="7">
        <f t="shared" si="21"/>
        <v>0</v>
      </c>
      <c r="CO21">
        <v>0</v>
      </c>
      <c r="CP21" s="6">
        <f t="shared" si="22"/>
        <v>0</v>
      </c>
      <c r="CQ21">
        <f t="shared" si="23"/>
        <v>0</v>
      </c>
      <c r="CR21">
        <v>0</v>
      </c>
      <c r="CS21">
        <f>Gameweek_13</f>
        <v>19</v>
      </c>
      <c r="CT21" s="6">
        <f t="shared" si="24"/>
        <v>0</v>
      </c>
    </row>
    <row r="22" spans="1:98" x14ac:dyDescent="0.2">
      <c r="G22" t="s">
        <v>30</v>
      </c>
      <c r="H22">
        <f>SUMIF(I6:I20,6,H6:H20)</f>
        <v>32</v>
      </c>
      <c r="J22" s="1">
        <f>SUM(J6:J20)</f>
        <v>25.569444444444443</v>
      </c>
      <c r="K22" s="1"/>
      <c r="L22" s="25" t="s">
        <v>35</v>
      </c>
      <c r="N22" s="3">
        <v>1</v>
      </c>
      <c r="O22" s="7">
        <f t="shared" si="0"/>
        <v>0.1111111111111111</v>
      </c>
      <c r="P22" s="8">
        <v>1</v>
      </c>
      <c r="Q22" s="6">
        <f t="shared" si="1"/>
        <v>0.2361111111111111</v>
      </c>
      <c r="R22" s="3">
        <v>0</v>
      </c>
      <c r="S22" s="9">
        <v>2</v>
      </c>
      <c r="T22">
        <f>Get_Color</f>
        <v>19</v>
      </c>
      <c r="U22" s="6">
        <f t="shared" si="2"/>
        <v>-0.47222222222222221</v>
      </c>
      <c r="V22" s="6"/>
      <c r="W22" s="25" t="s">
        <v>55</v>
      </c>
      <c r="X22" t="s">
        <v>148</v>
      </c>
      <c r="Y22">
        <v>0</v>
      </c>
      <c r="Z22" s="7">
        <f t="shared" si="31"/>
        <v>0</v>
      </c>
      <c r="AA22">
        <v>1</v>
      </c>
      <c r="AB22" s="6">
        <f t="shared" si="3"/>
        <v>0.125</v>
      </c>
      <c r="AC22">
        <v>0</v>
      </c>
      <c r="AD22" s="8">
        <v>3</v>
      </c>
      <c r="AE22">
        <f>Gameweek_8</f>
        <v>19</v>
      </c>
      <c r="AF22" s="6">
        <f t="shared" si="4"/>
        <v>-0.375</v>
      </c>
      <c r="AH22" s="25" t="s">
        <v>142</v>
      </c>
      <c r="AI22" t="s">
        <v>160</v>
      </c>
      <c r="AJ22">
        <v>0</v>
      </c>
      <c r="AK22" s="7">
        <f t="shared" si="5"/>
        <v>0</v>
      </c>
      <c r="AL22">
        <v>1</v>
      </c>
      <c r="AM22" s="6">
        <f t="shared" si="6"/>
        <v>0.125</v>
      </c>
      <c r="AN22">
        <v>0</v>
      </c>
      <c r="AO22">
        <v>13</v>
      </c>
      <c r="AP22">
        <f>Gameweek_9</f>
        <v>19</v>
      </c>
      <c r="AQ22" s="6">
        <f t="shared" si="7"/>
        <v>-1.625</v>
      </c>
      <c r="AS22" s="25" t="s">
        <v>167</v>
      </c>
      <c r="AT22" t="s">
        <v>157</v>
      </c>
      <c r="AU22">
        <v>1</v>
      </c>
      <c r="AV22" s="7">
        <f t="shared" si="8"/>
        <v>0.1111111111111111</v>
      </c>
      <c r="AW22">
        <v>1</v>
      </c>
      <c r="AX22" s="6">
        <f t="shared" si="9"/>
        <v>0.2361111111111111</v>
      </c>
      <c r="AY22">
        <v>0</v>
      </c>
      <c r="AZ22">
        <v>1</v>
      </c>
      <c r="BA22">
        <f>Gameweek_10</f>
        <v>19</v>
      </c>
      <c r="BB22" s="6">
        <f t="shared" si="10"/>
        <v>-0.2361111111111111</v>
      </c>
      <c r="BD22" s="25" t="s">
        <v>146</v>
      </c>
      <c r="BE22" t="s">
        <v>159</v>
      </c>
      <c r="BF22">
        <v>0</v>
      </c>
      <c r="BG22" s="7">
        <f t="shared" si="11"/>
        <v>0</v>
      </c>
      <c r="BH22">
        <v>1</v>
      </c>
      <c r="BI22" s="6">
        <f t="shared" si="12"/>
        <v>0.125</v>
      </c>
      <c r="BJ22">
        <f t="shared" si="13"/>
        <v>1</v>
      </c>
      <c r="BK22">
        <v>2</v>
      </c>
      <c r="BL22">
        <f>Gameweek_11</f>
        <v>19</v>
      </c>
      <c r="BM22" s="6">
        <f t="shared" si="14"/>
        <v>1.75</v>
      </c>
      <c r="BO22" s="25" t="s">
        <v>146</v>
      </c>
      <c r="BP22" t="s">
        <v>159</v>
      </c>
      <c r="BQ22">
        <v>0</v>
      </c>
      <c r="BR22" s="7">
        <f t="shared" si="27"/>
        <v>0</v>
      </c>
      <c r="BS22">
        <v>1</v>
      </c>
      <c r="BT22" s="6">
        <f t="shared" si="15"/>
        <v>0.125</v>
      </c>
      <c r="BU22">
        <f t="shared" si="28"/>
        <v>0</v>
      </c>
      <c r="BV22">
        <v>8</v>
      </c>
      <c r="BW22">
        <f>Gameweek_12</f>
        <v>19</v>
      </c>
      <c r="BX22" s="6">
        <f t="shared" si="16"/>
        <v>-1</v>
      </c>
      <c r="BZ22" s="25" t="s">
        <v>128</v>
      </c>
      <c r="CA22" t="s">
        <v>155</v>
      </c>
      <c r="CB22">
        <v>0</v>
      </c>
      <c r="CC22" s="7">
        <f t="shared" si="17"/>
        <v>0</v>
      </c>
      <c r="CD22">
        <v>2</v>
      </c>
      <c r="CE22" s="6">
        <f t="shared" si="18"/>
        <v>0.25</v>
      </c>
      <c r="CF22">
        <f t="shared" si="19"/>
        <v>0</v>
      </c>
      <c r="CG22">
        <v>1</v>
      </c>
      <c r="CH22">
        <f>Gameweek_13</f>
        <v>19</v>
      </c>
      <c r="CI22" s="6">
        <f t="shared" si="20"/>
        <v>-0.25</v>
      </c>
      <c r="CK22" s="25" t="s">
        <v>128</v>
      </c>
      <c r="CL22" t="s">
        <v>155</v>
      </c>
      <c r="CM22">
        <v>0</v>
      </c>
      <c r="CN22" s="7">
        <f t="shared" si="21"/>
        <v>0</v>
      </c>
      <c r="CO22">
        <v>3</v>
      </c>
      <c r="CP22" s="6">
        <f t="shared" si="22"/>
        <v>0.375</v>
      </c>
      <c r="CQ22">
        <f t="shared" si="23"/>
        <v>0</v>
      </c>
      <c r="CR22">
        <v>0</v>
      </c>
      <c r="CS22">
        <f>Gameweek_13</f>
        <v>19</v>
      </c>
      <c r="CT22" s="6">
        <f t="shared" si="24"/>
        <v>0</v>
      </c>
    </row>
    <row r="23" spans="1:98" x14ac:dyDescent="0.2">
      <c r="G23" t="s">
        <v>29</v>
      </c>
      <c r="H23">
        <f>2*(SUMIF(I6:I20,33,H6:H20))</f>
        <v>4</v>
      </c>
      <c r="L23" s="25" t="s">
        <v>36</v>
      </c>
      <c r="N23">
        <v>0</v>
      </c>
      <c r="O23" s="7">
        <f t="shared" si="0"/>
        <v>0</v>
      </c>
      <c r="P23" s="8">
        <v>3</v>
      </c>
      <c r="Q23" s="6">
        <f t="shared" si="1"/>
        <v>0.375</v>
      </c>
      <c r="R23" s="3">
        <v>0</v>
      </c>
      <c r="S23" s="8">
        <v>1</v>
      </c>
      <c r="T23">
        <f>Get_Color</f>
        <v>19</v>
      </c>
      <c r="U23" s="6">
        <f t="shared" si="2"/>
        <v>-0.375</v>
      </c>
      <c r="V23" s="6"/>
      <c r="W23" s="25" t="s">
        <v>142</v>
      </c>
      <c r="X23" t="s">
        <v>160</v>
      </c>
      <c r="Y23">
        <v>0</v>
      </c>
      <c r="Z23" s="7">
        <f t="shared" si="31"/>
        <v>0</v>
      </c>
      <c r="AA23">
        <v>1</v>
      </c>
      <c r="AB23" s="6">
        <f t="shared" si="3"/>
        <v>0.125</v>
      </c>
      <c r="AC23">
        <v>0</v>
      </c>
      <c r="AD23" s="8">
        <v>2</v>
      </c>
      <c r="AE23">
        <f>Gameweek_8</f>
        <v>19</v>
      </c>
      <c r="AF23" s="6">
        <f t="shared" si="4"/>
        <v>-0.25</v>
      </c>
      <c r="AH23" s="25" t="s">
        <v>52</v>
      </c>
      <c r="AI23" t="s">
        <v>148</v>
      </c>
      <c r="AJ23">
        <v>0</v>
      </c>
      <c r="AK23" s="7">
        <f t="shared" si="5"/>
        <v>0</v>
      </c>
      <c r="AL23">
        <v>1</v>
      </c>
      <c r="AM23" s="6">
        <f t="shared" si="6"/>
        <v>0.125</v>
      </c>
      <c r="AN23">
        <v>0</v>
      </c>
      <c r="AO23">
        <v>12</v>
      </c>
      <c r="AP23">
        <f>Gameweek_9</f>
        <v>19</v>
      </c>
      <c r="AQ23" s="6">
        <f t="shared" si="7"/>
        <v>-1.5</v>
      </c>
      <c r="AS23" s="25" t="s">
        <v>60</v>
      </c>
      <c r="AT23" t="s">
        <v>157</v>
      </c>
      <c r="AU23">
        <v>0</v>
      </c>
      <c r="AV23" s="7">
        <f t="shared" si="8"/>
        <v>0</v>
      </c>
      <c r="AW23">
        <v>2</v>
      </c>
      <c r="AX23" s="6">
        <f t="shared" si="9"/>
        <v>0.25</v>
      </c>
      <c r="AY23">
        <v>0</v>
      </c>
      <c r="AZ23">
        <v>1</v>
      </c>
      <c r="BA23">
        <f>Gameweek_10</f>
        <v>19</v>
      </c>
      <c r="BB23" s="6">
        <f t="shared" si="10"/>
        <v>-0.25</v>
      </c>
      <c r="BD23" s="25" t="s">
        <v>204</v>
      </c>
      <c r="BE23" t="s">
        <v>171</v>
      </c>
      <c r="BF23">
        <v>0</v>
      </c>
      <c r="BG23" s="7">
        <f t="shared" si="11"/>
        <v>0</v>
      </c>
      <c r="BH23">
        <v>0</v>
      </c>
      <c r="BI23" s="6">
        <f t="shared" si="12"/>
        <v>0</v>
      </c>
      <c r="BJ23">
        <f t="shared" si="13"/>
        <v>1</v>
      </c>
      <c r="BK23">
        <v>0</v>
      </c>
      <c r="BL23">
        <f>Gameweek_11</f>
        <v>19</v>
      </c>
      <c r="BM23" s="6">
        <f t="shared" si="14"/>
        <v>0</v>
      </c>
      <c r="BO23" s="25" t="s">
        <v>204</v>
      </c>
      <c r="BP23" t="s">
        <v>171</v>
      </c>
      <c r="BQ23">
        <v>0</v>
      </c>
      <c r="BR23" s="7">
        <f t="shared" si="27"/>
        <v>0</v>
      </c>
      <c r="BS23">
        <v>1</v>
      </c>
      <c r="BT23" s="6">
        <f t="shared" si="15"/>
        <v>0.125</v>
      </c>
      <c r="BU23">
        <f t="shared" si="28"/>
        <v>0</v>
      </c>
      <c r="BV23">
        <v>0</v>
      </c>
      <c r="BW23">
        <f>Gameweek_12</f>
        <v>19</v>
      </c>
      <c r="BX23" s="6">
        <f t="shared" si="16"/>
        <v>0</v>
      </c>
      <c r="BZ23" s="25" t="s">
        <v>126</v>
      </c>
      <c r="CA23" t="s">
        <v>155</v>
      </c>
      <c r="CB23">
        <v>0</v>
      </c>
      <c r="CC23" s="7">
        <f t="shared" si="17"/>
        <v>0</v>
      </c>
      <c r="CD23">
        <v>5</v>
      </c>
      <c r="CE23" s="6">
        <f t="shared" si="18"/>
        <v>0.625</v>
      </c>
      <c r="CF23">
        <f t="shared" si="19"/>
        <v>0</v>
      </c>
      <c r="CG23">
        <v>1</v>
      </c>
      <c r="CH23">
        <f>Gameweek_13</f>
        <v>19</v>
      </c>
      <c r="CI23" s="6">
        <f t="shared" si="20"/>
        <v>-0.625</v>
      </c>
      <c r="CK23" s="25" t="s">
        <v>126</v>
      </c>
      <c r="CL23" t="s">
        <v>155</v>
      </c>
      <c r="CM23">
        <v>0</v>
      </c>
      <c r="CN23" s="7">
        <f t="shared" si="21"/>
        <v>0</v>
      </c>
      <c r="CO23">
        <v>5</v>
      </c>
      <c r="CP23" s="6">
        <f t="shared" si="22"/>
        <v>0.625</v>
      </c>
      <c r="CQ23">
        <f t="shared" si="23"/>
        <v>0</v>
      </c>
      <c r="CR23">
        <v>0</v>
      </c>
      <c r="CS23">
        <f>Gameweek_13</f>
        <v>19</v>
      </c>
      <c r="CT23" s="6">
        <f t="shared" si="24"/>
        <v>0</v>
      </c>
    </row>
    <row r="24" spans="1:98" x14ac:dyDescent="0.2">
      <c r="G24" t="s">
        <v>31</v>
      </c>
      <c r="H24">
        <f>H22+H23</f>
        <v>36</v>
      </c>
      <c r="L24" s="25" t="s">
        <v>37</v>
      </c>
      <c r="N24">
        <v>0</v>
      </c>
      <c r="O24" s="7">
        <f t="shared" si="0"/>
        <v>0</v>
      </c>
      <c r="P24" s="8">
        <v>3</v>
      </c>
      <c r="Q24" s="6">
        <f t="shared" si="1"/>
        <v>0.375</v>
      </c>
      <c r="R24" s="3">
        <v>0</v>
      </c>
      <c r="S24" s="8">
        <v>2</v>
      </c>
      <c r="T24">
        <f>Get_Color</f>
        <v>19</v>
      </c>
      <c r="U24" s="6">
        <f t="shared" si="2"/>
        <v>-0.75</v>
      </c>
      <c r="V24" s="6"/>
      <c r="W24" s="25" t="s">
        <v>43</v>
      </c>
      <c r="X24" t="s">
        <v>158</v>
      </c>
      <c r="Y24">
        <v>0</v>
      </c>
      <c r="Z24" s="7">
        <f t="shared" si="31"/>
        <v>0</v>
      </c>
      <c r="AA24">
        <v>1</v>
      </c>
      <c r="AB24" s="6">
        <f t="shared" si="3"/>
        <v>0.125</v>
      </c>
      <c r="AC24">
        <v>0</v>
      </c>
      <c r="AD24" s="8">
        <v>2</v>
      </c>
      <c r="AE24">
        <f>Gameweek_8</f>
        <v>19</v>
      </c>
      <c r="AF24" s="6">
        <f t="shared" si="4"/>
        <v>-0.25</v>
      </c>
      <c r="AH24" s="25" t="s">
        <v>5</v>
      </c>
      <c r="AI24" t="s">
        <v>150</v>
      </c>
      <c r="AJ24">
        <v>0</v>
      </c>
      <c r="AK24" s="7">
        <f t="shared" si="5"/>
        <v>0</v>
      </c>
      <c r="AL24">
        <v>2</v>
      </c>
      <c r="AM24" s="6">
        <f t="shared" si="6"/>
        <v>0.25</v>
      </c>
      <c r="AN24">
        <v>0</v>
      </c>
      <c r="AO24">
        <v>11</v>
      </c>
      <c r="AP24">
        <f>Gameweek_9</f>
        <v>19</v>
      </c>
      <c r="AQ24" s="6">
        <f t="shared" si="7"/>
        <v>-2.75</v>
      </c>
      <c r="AS24" s="25" t="s">
        <v>138</v>
      </c>
      <c r="AT24" t="s">
        <v>157</v>
      </c>
      <c r="AU24">
        <v>0</v>
      </c>
      <c r="AV24" s="7">
        <f t="shared" si="8"/>
        <v>0</v>
      </c>
      <c r="AW24">
        <v>1</v>
      </c>
      <c r="AX24" s="6">
        <f t="shared" si="9"/>
        <v>0.125</v>
      </c>
      <c r="AY24">
        <v>0</v>
      </c>
      <c r="AZ24">
        <v>-3</v>
      </c>
      <c r="BA24">
        <f>Gameweek_10</f>
        <v>19</v>
      </c>
      <c r="BB24" s="6">
        <f t="shared" si="10"/>
        <v>0.375</v>
      </c>
      <c r="BD24" s="25" t="s">
        <v>44</v>
      </c>
      <c r="BE24" t="s">
        <v>160</v>
      </c>
      <c r="BF24">
        <v>0</v>
      </c>
      <c r="BG24" s="7">
        <f t="shared" si="11"/>
        <v>0</v>
      </c>
      <c r="BH24">
        <v>0</v>
      </c>
      <c r="BI24" s="6">
        <f t="shared" si="12"/>
        <v>0</v>
      </c>
      <c r="BJ24">
        <f t="shared" si="13"/>
        <v>1</v>
      </c>
      <c r="BK24">
        <v>0</v>
      </c>
      <c r="BL24">
        <f>Gameweek_11</f>
        <v>19</v>
      </c>
      <c r="BM24" s="6">
        <f t="shared" si="14"/>
        <v>0</v>
      </c>
      <c r="BO24" s="25" t="s">
        <v>44</v>
      </c>
      <c r="BP24" t="s">
        <v>160</v>
      </c>
      <c r="BQ24">
        <v>0</v>
      </c>
      <c r="BR24" s="7">
        <f t="shared" si="27"/>
        <v>0</v>
      </c>
      <c r="BS24">
        <v>0</v>
      </c>
      <c r="BT24" s="6">
        <f t="shared" si="15"/>
        <v>0</v>
      </c>
      <c r="BU24">
        <f t="shared" si="28"/>
        <v>0</v>
      </c>
      <c r="BV24">
        <v>0</v>
      </c>
      <c r="BW24">
        <f>Gameweek_12</f>
        <v>19</v>
      </c>
      <c r="BX24" s="6">
        <f t="shared" si="16"/>
        <v>0</v>
      </c>
      <c r="BZ24" s="4" t="s">
        <v>7</v>
      </c>
      <c r="CA24" t="s">
        <v>152</v>
      </c>
      <c r="CB24">
        <v>0</v>
      </c>
      <c r="CC24" s="7">
        <f t="shared" si="17"/>
        <v>0</v>
      </c>
      <c r="CD24">
        <v>0</v>
      </c>
      <c r="CE24" s="6">
        <f t="shared" si="18"/>
        <v>0</v>
      </c>
      <c r="CF24">
        <f t="shared" si="19"/>
        <v>0</v>
      </c>
      <c r="CG24">
        <v>2</v>
      </c>
      <c r="CH24">
        <f>Gameweek_13</f>
        <v>3</v>
      </c>
      <c r="CI24" s="6">
        <f t="shared" si="20"/>
        <v>0</v>
      </c>
      <c r="CK24" s="4" t="s">
        <v>7</v>
      </c>
      <c r="CL24" t="s">
        <v>152</v>
      </c>
      <c r="CM24">
        <v>0</v>
      </c>
      <c r="CN24" s="7">
        <f t="shared" si="21"/>
        <v>0</v>
      </c>
      <c r="CO24">
        <v>0</v>
      </c>
      <c r="CP24" s="6">
        <f t="shared" si="22"/>
        <v>0</v>
      </c>
      <c r="CQ24">
        <f t="shared" si="23"/>
        <v>0</v>
      </c>
      <c r="CR24">
        <v>0</v>
      </c>
      <c r="CS24">
        <f>Gameweek_13</f>
        <v>3</v>
      </c>
      <c r="CT24" s="6">
        <f t="shared" si="24"/>
        <v>0</v>
      </c>
    </row>
    <row r="25" spans="1:98" x14ac:dyDescent="0.2">
      <c r="G25" t="s">
        <v>33</v>
      </c>
      <c r="H25">
        <f>SUMIF(I6:I20,3,H6:H20)</f>
        <v>10</v>
      </c>
      <c r="L25" s="25" t="s">
        <v>38</v>
      </c>
      <c r="N25">
        <v>0</v>
      </c>
      <c r="O25" s="7">
        <f t="shared" si="0"/>
        <v>0</v>
      </c>
      <c r="P25" s="8">
        <v>3</v>
      </c>
      <c r="Q25" s="6">
        <f t="shared" si="1"/>
        <v>0.375</v>
      </c>
      <c r="R25" s="3">
        <v>0</v>
      </c>
      <c r="S25">
        <v>3</v>
      </c>
      <c r="T25">
        <f>Get_Color</f>
        <v>19</v>
      </c>
      <c r="U25" s="6">
        <f t="shared" si="2"/>
        <v>-1.125</v>
      </c>
      <c r="V25" s="6"/>
      <c r="W25" s="25" t="s">
        <v>59</v>
      </c>
      <c r="X25" t="s">
        <v>163</v>
      </c>
      <c r="Y25">
        <v>0</v>
      </c>
      <c r="Z25" s="7">
        <f t="shared" si="31"/>
        <v>0</v>
      </c>
      <c r="AA25">
        <v>1</v>
      </c>
      <c r="AB25" s="6">
        <f t="shared" si="3"/>
        <v>0.125</v>
      </c>
      <c r="AC25">
        <v>0</v>
      </c>
      <c r="AD25" s="8">
        <v>2</v>
      </c>
      <c r="AE25">
        <f>Gameweek_8</f>
        <v>19</v>
      </c>
      <c r="AF25" s="6">
        <f t="shared" si="4"/>
        <v>-0.25</v>
      </c>
      <c r="AH25" s="25" t="s">
        <v>45</v>
      </c>
      <c r="AI25" t="s">
        <v>150</v>
      </c>
      <c r="AJ25">
        <v>0</v>
      </c>
      <c r="AK25" s="7">
        <f t="shared" si="5"/>
        <v>0</v>
      </c>
      <c r="AL25">
        <v>3</v>
      </c>
      <c r="AM25" s="6">
        <f t="shared" si="6"/>
        <v>0.375</v>
      </c>
      <c r="AN25">
        <v>0</v>
      </c>
      <c r="AO25">
        <v>10</v>
      </c>
      <c r="AP25">
        <f>Gameweek_9</f>
        <v>19</v>
      </c>
      <c r="AQ25" s="6">
        <f t="shared" si="7"/>
        <v>-3.75</v>
      </c>
      <c r="AS25" s="25" t="s">
        <v>168</v>
      </c>
      <c r="AT25" t="s">
        <v>155</v>
      </c>
      <c r="AU25">
        <v>0</v>
      </c>
      <c r="AV25" s="7">
        <f t="shared" si="8"/>
        <v>0</v>
      </c>
      <c r="AW25">
        <v>2</v>
      </c>
      <c r="AX25" s="6">
        <f t="shared" si="9"/>
        <v>0.25</v>
      </c>
      <c r="AY25">
        <v>0</v>
      </c>
      <c r="AZ25">
        <v>0</v>
      </c>
      <c r="BA25">
        <f>Gameweek_10</f>
        <v>19</v>
      </c>
      <c r="BB25" s="6">
        <f t="shared" si="10"/>
        <v>0</v>
      </c>
      <c r="BD25" s="25" t="s">
        <v>39</v>
      </c>
      <c r="BE25" t="s">
        <v>160</v>
      </c>
      <c r="BF25">
        <v>0</v>
      </c>
      <c r="BG25" s="7">
        <f t="shared" si="11"/>
        <v>0</v>
      </c>
      <c r="BH25">
        <v>2</v>
      </c>
      <c r="BI25" s="6">
        <f t="shared" si="12"/>
        <v>0.25</v>
      </c>
      <c r="BJ25">
        <f t="shared" si="13"/>
        <v>1</v>
      </c>
      <c r="BK25">
        <v>8</v>
      </c>
      <c r="BL25">
        <f>Gameweek_11</f>
        <v>19</v>
      </c>
      <c r="BM25" s="6">
        <f t="shared" si="14"/>
        <v>6</v>
      </c>
      <c r="BO25" s="25" t="s">
        <v>39</v>
      </c>
      <c r="BP25" t="s">
        <v>160</v>
      </c>
      <c r="BQ25">
        <v>0</v>
      </c>
      <c r="BR25" s="7">
        <f t="shared" si="27"/>
        <v>0</v>
      </c>
      <c r="BS25">
        <v>1</v>
      </c>
      <c r="BT25" s="6">
        <f t="shared" si="15"/>
        <v>0.125</v>
      </c>
      <c r="BU25">
        <f t="shared" si="28"/>
        <v>0</v>
      </c>
      <c r="BV25">
        <v>0</v>
      </c>
      <c r="BW25">
        <f>Gameweek_12</f>
        <v>19</v>
      </c>
      <c r="BX25" s="6">
        <f t="shared" si="16"/>
        <v>0</v>
      </c>
      <c r="BZ25" s="25" t="s">
        <v>139</v>
      </c>
      <c r="CA25" t="s">
        <v>152</v>
      </c>
      <c r="CB25">
        <v>0</v>
      </c>
      <c r="CC25" s="7">
        <f t="shared" si="17"/>
        <v>0</v>
      </c>
      <c r="CD25">
        <v>1</v>
      </c>
      <c r="CE25" s="6">
        <f t="shared" si="18"/>
        <v>0.125</v>
      </c>
      <c r="CF25">
        <f t="shared" si="19"/>
        <v>0</v>
      </c>
      <c r="CG25">
        <v>1</v>
      </c>
      <c r="CH25">
        <f>Gameweek_13</f>
        <v>19</v>
      </c>
      <c r="CI25" s="6">
        <f t="shared" si="20"/>
        <v>-0.125</v>
      </c>
      <c r="CK25" s="25" t="s">
        <v>139</v>
      </c>
      <c r="CL25" t="s">
        <v>152</v>
      </c>
      <c r="CM25">
        <v>0</v>
      </c>
      <c r="CN25" s="7">
        <f t="shared" si="21"/>
        <v>0</v>
      </c>
      <c r="CO25">
        <v>1</v>
      </c>
      <c r="CP25" s="6">
        <f t="shared" si="22"/>
        <v>0.125</v>
      </c>
      <c r="CQ25">
        <f t="shared" si="23"/>
        <v>0</v>
      </c>
      <c r="CR25">
        <v>0</v>
      </c>
      <c r="CS25">
        <f>Gameweek_13</f>
        <v>19</v>
      </c>
      <c r="CT25" s="6">
        <f t="shared" si="24"/>
        <v>0</v>
      </c>
    </row>
    <row r="26" spans="1:98" x14ac:dyDescent="0.2">
      <c r="L26" s="25" t="s">
        <v>39</v>
      </c>
      <c r="N26">
        <v>0</v>
      </c>
      <c r="O26" s="7">
        <f t="shared" si="0"/>
        <v>0</v>
      </c>
      <c r="P26" s="8">
        <v>2</v>
      </c>
      <c r="Q26" s="6">
        <f t="shared" si="1"/>
        <v>0.25</v>
      </c>
      <c r="R26" s="3">
        <v>0</v>
      </c>
      <c r="S26" s="8">
        <v>7</v>
      </c>
      <c r="T26">
        <f>Get_Color</f>
        <v>19</v>
      </c>
      <c r="U26" s="6">
        <f t="shared" si="2"/>
        <v>-1.75</v>
      </c>
      <c r="V26" s="6"/>
      <c r="W26" s="25" t="s">
        <v>139</v>
      </c>
      <c r="X26" t="s">
        <v>152</v>
      </c>
      <c r="Y26">
        <v>0</v>
      </c>
      <c r="Z26" s="7">
        <f t="shared" si="31"/>
        <v>0</v>
      </c>
      <c r="AA26">
        <v>1</v>
      </c>
      <c r="AB26" s="6">
        <f t="shared" si="3"/>
        <v>0.125</v>
      </c>
      <c r="AC26">
        <v>0</v>
      </c>
      <c r="AD26" s="8">
        <v>2</v>
      </c>
      <c r="AE26">
        <f>Gameweek_8</f>
        <v>19</v>
      </c>
      <c r="AF26" s="6">
        <f t="shared" si="4"/>
        <v>-0.25</v>
      </c>
      <c r="AH26" s="25" t="s">
        <v>51</v>
      </c>
      <c r="AI26" t="s">
        <v>162</v>
      </c>
      <c r="AJ26">
        <v>0</v>
      </c>
      <c r="AK26" s="7">
        <f t="shared" si="5"/>
        <v>0</v>
      </c>
      <c r="AL26">
        <v>1</v>
      </c>
      <c r="AM26" s="6">
        <f t="shared" si="6"/>
        <v>0.125</v>
      </c>
      <c r="AN26">
        <v>0</v>
      </c>
      <c r="AO26">
        <v>10</v>
      </c>
      <c r="AP26">
        <f>Gameweek_9</f>
        <v>19</v>
      </c>
      <c r="AQ26" s="6">
        <f t="shared" si="7"/>
        <v>-1.25</v>
      </c>
      <c r="AS26" s="25" t="s">
        <v>36</v>
      </c>
      <c r="AT26" t="s">
        <v>153</v>
      </c>
      <c r="AU26">
        <v>0</v>
      </c>
      <c r="AV26" s="7">
        <f t="shared" si="8"/>
        <v>0</v>
      </c>
      <c r="AW26">
        <v>2</v>
      </c>
      <c r="AX26" s="6">
        <f t="shared" si="9"/>
        <v>0.25</v>
      </c>
      <c r="AY26">
        <v>0</v>
      </c>
      <c r="AZ26">
        <v>0</v>
      </c>
      <c r="BA26">
        <f>Gameweek_10</f>
        <v>19</v>
      </c>
      <c r="BB26" s="6">
        <f t="shared" si="10"/>
        <v>0</v>
      </c>
      <c r="BD26" s="25" t="s">
        <v>169</v>
      </c>
      <c r="BE26" t="s">
        <v>160</v>
      </c>
      <c r="BF26">
        <v>0</v>
      </c>
      <c r="BG26" s="7">
        <f t="shared" si="11"/>
        <v>0</v>
      </c>
      <c r="BH26">
        <v>1</v>
      </c>
      <c r="BI26" s="6">
        <f t="shared" si="12"/>
        <v>0.125</v>
      </c>
      <c r="BJ26">
        <f t="shared" si="13"/>
        <v>1</v>
      </c>
      <c r="BK26">
        <v>-1</v>
      </c>
      <c r="BL26">
        <f>Gameweek_11</f>
        <v>19</v>
      </c>
      <c r="BM26" s="6">
        <f t="shared" si="14"/>
        <v>-0.875</v>
      </c>
      <c r="BO26" s="25" t="s">
        <v>169</v>
      </c>
      <c r="BP26" t="s">
        <v>160</v>
      </c>
      <c r="BQ26">
        <v>0</v>
      </c>
      <c r="BR26" s="7">
        <f t="shared" si="27"/>
        <v>0</v>
      </c>
      <c r="BS26">
        <v>1</v>
      </c>
      <c r="BT26" s="6">
        <f t="shared" si="15"/>
        <v>0.125</v>
      </c>
      <c r="BU26">
        <f t="shared" si="28"/>
        <v>0</v>
      </c>
      <c r="BV26">
        <v>2</v>
      </c>
      <c r="BW26">
        <f>Gameweek_12</f>
        <v>19</v>
      </c>
      <c r="BX26" s="6">
        <f t="shared" si="16"/>
        <v>-0.25</v>
      </c>
      <c r="BZ26" s="25" t="s">
        <v>230</v>
      </c>
      <c r="CA26" t="s">
        <v>152</v>
      </c>
      <c r="CB26">
        <v>0</v>
      </c>
      <c r="CC26" s="7">
        <f t="shared" si="17"/>
        <v>0</v>
      </c>
      <c r="CD26">
        <v>1</v>
      </c>
      <c r="CE26" s="6">
        <f t="shared" si="18"/>
        <v>0.125</v>
      </c>
      <c r="CF26">
        <f t="shared" si="19"/>
        <v>0</v>
      </c>
      <c r="CG26">
        <v>0</v>
      </c>
      <c r="CH26">
        <f>Gameweek_13</f>
        <v>19</v>
      </c>
      <c r="CI26" s="6">
        <f t="shared" si="20"/>
        <v>0</v>
      </c>
      <c r="CK26" s="25" t="s">
        <v>230</v>
      </c>
      <c r="CL26" t="s">
        <v>152</v>
      </c>
      <c r="CM26">
        <v>0</v>
      </c>
      <c r="CN26" s="7">
        <f t="shared" si="21"/>
        <v>0</v>
      </c>
      <c r="CO26">
        <v>1</v>
      </c>
      <c r="CP26" s="6">
        <f t="shared" si="22"/>
        <v>0.125</v>
      </c>
      <c r="CQ26">
        <f t="shared" si="23"/>
        <v>0</v>
      </c>
      <c r="CR26">
        <v>0</v>
      </c>
      <c r="CS26">
        <f>Gameweek_13</f>
        <v>19</v>
      </c>
      <c r="CT26" s="6">
        <f t="shared" si="24"/>
        <v>0</v>
      </c>
    </row>
    <row r="27" spans="1:98" x14ac:dyDescent="0.2">
      <c r="L27" s="25" t="s">
        <v>40</v>
      </c>
      <c r="N27">
        <v>0</v>
      </c>
      <c r="O27" s="7">
        <f t="shared" si="0"/>
        <v>0</v>
      </c>
      <c r="P27" s="8">
        <v>2</v>
      </c>
      <c r="Q27" s="6">
        <f t="shared" si="1"/>
        <v>0.25</v>
      </c>
      <c r="R27" s="3">
        <v>0</v>
      </c>
      <c r="S27">
        <v>2</v>
      </c>
      <c r="T27">
        <f>Get_Color</f>
        <v>19</v>
      </c>
      <c r="U27" s="6">
        <f t="shared" si="2"/>
        <v>-0.5</v>
      </c>
      <c r="V27" s="6"/>
      <c r="W27" s="25" t="s">
        <v>54</v>
      </c>
      <c r="X27" t="s">
        <v>163</v>
      </c>
      <c r="Y27">
        <v>0</v>
      </c>
      <c r="Z27" s="7">
        <f t="shared" si="31"/>
        <v>0</v>
      </c>
      <c r="AA27">
        <v>2</v>
      </c>
      <c r="AB27" s="6">
        <f t="shared" si="3"/>
        <v>0.25</v>
      </c>
      <c r="AC27">
        <v>0</v>
      </c>
      <c r="AD27" s="8">
        <v>1</v>
      </c>
      <c r="AE27">
        <f>Gameweek_8</f>
        <v>19</v>
      </c>
      <c r="AF27" s="6">
        <f t="shared" si="4"/>
        <v>-0.25</v>
      </c>
      <c r="AH27" s="25" t="s">
        <v>140</v>
      </c>
      <c r="AI27" t="s">
        <v>159</v>
      </c>
      <c r="AJ27">
        <v>0</v>
      </c>
      <c r="AK27" s="7">
        <f t="shared" si="5"/>
        <v>0</v>
      </c>
      <c r="AL27">
        <v>1</v>
      </c>
      <c r="AM27" s="6">
        <f t="shared" si="6"/>
        <v>0.125</v>
      </c>
      <c r="AN27">
        <v>0</v>
      </c>
      <c r="AO27">
        <v>8</v>
      </c>
      <c r="AP27">
        <f>Gameweek_9</f>
        <v>19</v>
      </c>
      <c r="AQ27" s="6">
        <f t="shared" si="7"/>
        <v>-1</v>
      </c>
      <c r="AS27" s="25" t="s">
        <v>64</v>
      </c>
      <c r="AT27" t="s">
        <v>163</v>
      </c>
      <c r="AU27">
        <v>0</v>
      </c>
      <c r="AV27" s="7">
        <f t="shared" si="8"/>
        <v>0</v>
      </c>
      <c r="AW27">
        <v>1</v>
      </c>
      <c r="AX27" s="6">
        <f t="shared" si="9"/>
        <v>0.125</v>
      </c>
      <c r="AY27">
        <v>0</v>
      </c>
      <c r="AZ27">
        <v>0</v>
      </c>
      <c r="BA27">
        <f>Gameweek_10</f>
        <v>19</v>
      </c>
      <c r="BB27" s="6">
        <f t="shared" si="10"/>
        <v>0</v>
      </c>
      <c r="BD27" s="25" t="s">
        <v>47</v>
      </c>
      <c r="BE27" t="s">
        <v>160</v>
      </c>
      <c r="BF27">
        <v>0</v>
      </c>
      <c r="BG27" s="7">
        <f t="shared" si="11"/>
        <v>0</v>
      </c>
      <c r="BH27">
        <v>2</v>
      </c>
      <c r="BI27" s="6">
        <f t="shared" si="12"/>
        <v>0.25</v>
      </c>
      <c r="BJ27">
        <f t="shared" si="13"/>
        <v>1</v>
      </c>
      <c r="BK27">
        <v>7</v>
      </c>
      <c r="BL27">
        <f>Gameweek_11</f>
        <v>19</v>
      </c>
      <c r="BM27" s="6">
        <f t="shared" si="14"/>
        <v>5.25</v>
      </c>
      <c r="BO27" s="25" t="s">
        <v>47</v>
      </c>
      <c r="BP27" t="s">
        <v>160</v>
      </c>
      <c r="BQ27">
        <v>0</v>
      </c>
      <c r="BR27" s="7">
        <f t="shared" si="27"/>
        <v>0</v>
      </c>
      <c r="BS27">
        <v>1</v>
      </c>
      <c r="BT27" s="6">
        <f t="shared" si="15"/>
        <v>0.125</v>
      </c>
      <c r="BU27">
        <f t="shared" si="28"/>
        <v>0</v>
      </c>
      <c r="BV27">
        <v>1</v>
      </c>
      <c r="BW27">
        <f>Gameweek_12</f>
        <v>19</v>
      </c>
      <c r="BX27" s="6">
        <f t="shared" si="16"/>
        <v>-0.125</v>
      </c>
      <c r="BZ27" s="25" t="s">
        <v>54</v>
      </c>
      <c r="CA27" t="s">
        <v>163</v>
      </c>
      <c r="CB27">
        <v>0</v>
      </c>
      <c r="CC27" s="7">
        <f t="shared" si="17"/>
        <v>0</v>
      </c>
      <c r="CD27">
        <v>0</v>
      </c>
      <c r="CE27" s="6">
        <f t="shared" si="18"/>
        <v>0</v>
      </c>
      <c r="CF27">
        <f t="shared" si="19"/>
        <v>0</v>
      </c>
      <c r="CG27">
        <v>0</v>
      </c>
      <c r="CH27">
        <f>Gameweek_13</f>
        <v>19</v>
      </c>
      <c r="CI27" s="6">
        <f t="shared" si="20"/>
        <v>0</v>
      </c>
      <c r="CK27" s="25" t="s">
        <v>54</v>
      </c>
      <c r="CL27" t="s">
        <v>163</v>
      </c>
      <c r="CM27">
        <v>0</v>
      </c>
      <c r="CN27" s="7">
        <f t="shared" si="21"/>
        <v>0</v>
      </c>
      <c r="CO27">
        <v>0</v>
      </c>
      <c r="CP27" s="6">
        <f t="shared" si="22"/>
        <v>0</v>
      </c>
      <c r="CQ27">
        <f t="shared" si="23"/>
        <v>0</v>
      </c>
      <c r="CR27">
        <v>0</v>
      </c>
      <c r="CS27">
        <f>Gameweek_13</f>
        <v>19</v>
      </c>
      <c r="CT27" s="6">
        <f t="shared" si="24"/>
        <v>0</v>
      </c>
    </row>
    <row r="28" spans="1:98" x14ac:dyDescent="0.2">
      <c r="L28" s="25" t="s">
        <v>41</v>
      </c>
      <c r="N28">
        <v>0</v>
      </c>
      <c r="O28" s="7">
        <f t="shared" si="0"/>
        <v>0</v>
      </c>
      <c r="P28" s="8">
        <v>2</v>
      </c>
      <c r="Q28" s="6">
        <f t="shared" si="1"/>
        <v>0.25</v>
      </c>
      <c r="R28" s="3">
        <v>0</v>
      </c>
      <c r="S28" s="8">
        <v>2</v>
      </c>
      <c r="T28">
        <f>Get_Color</f>
        <v>19</v>
      </c>
      <c r="U28" s="6">
        <f t="shared" si="2"/>
        <v>-0.5</v>
      </c>
      <c r="V28" s="6"/>
      <c r="W28" s="25" t="s">
        <v>60</v>
      </c>
      <c r="X28" t="s">
        <v>157</v>
      </c>
      <c r="Y28">
        <v>0</v>
      </c>
      <c r="Z28" s="7">
        <f t="shared" si="31"/>
        <v>0</v>
      </c>
      <c r="AA28">
        <v>1</v>
      </c>
      <c r="AB28" s="6">
        <f t="shared" si="3"/>
        <v>0.125</v>
      </c>
      <c r="AC28">
        <v>0</v>
      </c>
      <c r="AD28" s="8">
        <v>1</v>
      </c>
      <c r="AE28">
        <f>Gameweek_8</f>
        <v>19</v>
      </c>
      <c r="AF28" s="6">
        <f t="shared" si="4"/>
        <v>-0.125</v>
      </c>
      <c r="AH28" s="25" t="s">
        <v>169</v>
      </c>
      <c r="AI28" t="s">
        <v>160</v>
      </c>
      <c r="AJ28">
        <v>0</v>
      </c>
      <c r="AK28" s="7">
        <v>0</v>
      </c>
      <c r="AL28">
        <v>1</v>
      </c>
      <c r="AM28" s="6">
        <f t="shared" si="6"/>
        <v>0.125</v>
      </c>
      <c r="AN28">
        <v>0</v>
      </c>
      <c r="AO28">
        <v>6</v>
      </c>
      <c r="AP28">
        <f>Gameweek_9</f>
        <v>19</v>
      </c>
      <c r="AQ28" s="6">
        <f t="shared" si="7"/>
        <v>-0.75</v>
      </c>
      <c r="AS28" s="25" t="s">
        <v>35</v>
      </c>
      <c r="AT28" t="s">
        <v>154</v>
      </c>
      <c r="AU28">
        <v>0</v>
      </c>
      <c r="AV28" s="7">
        <f t="shared" si="8"/>
        <v>0</v>
      </c>
      <c r="AW28">
        <v>1</v>
      </c>
      <c r="AX28" s="6">
        <f t="shared" si="9"/>
        <v>0.125</v>
      </c>
      <c r="AY28">
        <v>0</v>
      </c>
      <c r="AZ28">
        <v>2</v>
      </c>
      <c r="BA28">
        <f>Gameweek_10</f>
        <v>19</v>
      </c>
      <c r="BB28" s="6">
        <f t="shared" si="10"/>
        <v>-0.25</v>
      </c>
      <c r="BD28" s="25" t="s">
        <v>219</v>
      </c>
      <c r="BE28" t="s">
        <v>171</v>
      </c>
      <c r="BF28">
        <v>0</v>
      </c>
      <c r="BG28" s="7">
        <f t="shared" si="11"/>
        <v>0</v>
      </c>
      <c r="BH28">
        <v>1</v>
      </c>
      <c r="BI28" s="6">
        <f t="shared" si="12"/>
        <v>0.125</v>
      </c>
      <c r="BJ28">
        <f t="shared" si="13"/>
        <v>1</v>
      </c>
      <c r="BK28">
        <v>0</v>
      </c>
      <c r="BL28">
        <f>Gameweek_11</f>
        <v>19</v>
      </c>
      <c r="BM28" s="6">
        <f t="shared" si="14"/>
        <v>0</v>
      </c>
      <c r="BO28" s="25" t="s">
        <v>219</v>
      </c>
      <c r="BP28" t="s">
        <v>171</v>
      </c>
      <c r="BQ28">
        <v>0</v>
      </c>
      <c r="BR28" s="7">
        <f t="shared" si="27"/>
        <v>0</v>
      </c>
      <c r="BS28">
        <v>1</v>
      </c>
      <c r="BT28" s="6">
        <f t="shared" si="15"/>
        <v>0.125</v>
      </c>
      <c r="BU28">
        <f t="shared" si="28"/>
        <v>0</v>
      </c>
      <c r="BV28">
        <v>5</v>
      </c>
      <c r="BW28">
        <f>Gameweek_12</f>
        <v>19</v>
      </c>
      <c r="BX28" s="6">
        <f t="shared" si="16"/>
        <v>-0.625</v>
      </c>
      <c r="BZ28" s="25" t="s">
        <v>59</v>
      </c>
      <c r="CA28" t="s">
        <v>163</v>
      </c>
      <c r="CB28">
        <v>0</v>
      </c>
      <c r="CC28" s="7">
        <f t="shared" si="17"/>
        <v>0</v>
      </c>
      <c r="CD28">
        <v>1</v>
      </c>
      <c r="CE28" s="6">
        <f t="shared" si="18"/>
        <v>0.125</v>
      </c>
      <c r="CF28">
        <f t="shared" si="19"/>
        <v>0</v>
      </c>
      <c r="CG28">
        <v>2</v>
      </c>
      <c r="CH28">
        <f>Gameweek_13</f>
        <v>19</v>
      </c>
      <c r="CI28" s="6">
        <f t="shared" si="20"/>
        <v>-0.25</v>
      </c>
      <c r="CK28" s="25" t="s">
        <v>59</v>
      </c>
      <c r="CL28" t="s">
        <v>163</v>
      </c>
      <c r="CM28">
        <v>0</v>
      </c>
      <c r="CN28" s="7">
        <f t="shared" si="21"/>
        <v>0</v>
      </c>
      <c r="CO28">
        <v>1</v>
      </c>
      <c r="CP28" s="6">
        <f t="shared" si="22"/>
        <v>0.125</v>
      </c>
      <c r="CQ28">
        <f t="shared" si="23"/>
        <v>0</v>
      </c>
      <c r="CR28">
        <v>0</v>
      </c>
      <c r="CS28">
        <f>Gameweek_13</f>
        <v>19</v>
      </c>
      <c r="CT28" s="6">
        <f t="shared" si="24"/>
        <v>0</v>
      </c>
    </row>
    <row r="29" spans="1:98" x14ac:dyDescent="0.2">
      <c r="L29" s="25" t="s">
        <v>42</v>
      </c>
      <c r="N29">
        <v>0</v>
      </c>
      <c r="O29" s="7">
        <f t="shared" si="0"/>
        <v>0</v>
      </c>
      <c r="P29" s="8">
        <v>2</v>
      </c>
      <c r="Q29" s="6">
        <f t="shared" si="1"/>
        <v>0.25</v>
      </c>
      <c r="R29" s="3">
        <v>0</v>
      </c>
      <c r="S29">
        <v>0</v>
      </c>
      <c r="T29">
        <f>Get_Color</f>
        <v>19</v>
      </c>
      <c r="U29" s="6">
        <f t="shared" si="2"/>
        <v>0</v>
      </c>
      <c r="V29" s="6"/>
      <c r="W29" s="25" t="s">
        <v>146</v>
      </c>
      <c r="X29" t="s">
        <v>159</v>
      </c>
      <c r="Y29">
        <v>0</v>
      </c>
      <c r="Z29" s="7">
        <f t="shared" si="31"/>
        <v>0</v>
      </c>
      <c r="AA29">
        <v>1</v>
      </c>
      <c r="AB29" s="6">
        <f t="shared" si="3"/>
        <v>0.125</v>
      </c>
      <c r="AC29">
        <v>0</v>
      </c>
      <c r="AD29" s="8">
        <v>1</v>
      </c>
      <c r="AE29">
        <f>Gameweek_8</f>
        <v>19</v>
      </c>
      <c r="AF29" s="6">
        <f t="shared" si="4"/>
        <v>-0.125</v>
      </c>
      <c r="AH29" s="25" t="s">
        <v>146</v>
      </c>
      <c r="AI29" t="s">
        <v>159</v>
      </c>
      <c r="AJ29">
        <v>0</v>
      </c>
      <c r="AK29" s="7">
        <f t="shared" ref="AK29:AK59" si="32">(AJ29/9)</f>
        <v>0</v>
      </c>
      <c r="AL29">
        <v>1</v>
      </c>
      <c r="AM29" s="6">
        <f t="shared" si="6"/>
        <v>0.125</v>
      </c>
      <c r="AN29">
        <v>0</v>
      </c>
      <c r="AO29">
        <v>5</v>
      </c>
      <c r="AP29">
        <f>Gameweek_9</f>
        <v>19</v>
      </c>
      <c r="AQ29" s="6">
        <f t="shared" si="7"/>
        <v>-0.625</v>
      </c>
      <c r="AS29" s="25" t="s">
        <v>40</v>
      </c>
      <c r="AT29" t="s">
        <v>153</v>
      </c>
      <c r="AU29">
        <v>0</v>
      </c>
      <c r="AV29" s="7">
        <f t="shared" si="8"/>
        <v>0</v>
      </c>
      <c r="AW29">
        <v>1</v>
      </c>
      <c r="AX29" s="6">
        <f t="shared" si="9"/>
        <v>0.125</v>
      </c>
      <c r="AY29">
        <v>0</v>
      </c>
      <c r="AZ29">
        <v>5</v>
      </c>
      <c r="BA29">
        <f>Gameweek_10</f>
        <v>19</v>
      </c>
      <c r="BB29" s="6">
        <f t="shared" si="10"/>
        <v>-0.625</v>
      </c>
      <c r="BD29" s="25" t="s">
        <v>58</v>
      </c>
      <c r="BE29" t="s">
        <v>164</v>
      </c>
      <c r="BF29">
        <v>0</v>
      </c>
      <c r="BG29" s="7">
        <f t="shared" si="11"/>
        <v>0</v>
      </c>
      <c r="BH29">
        <v>1</v>
      </c>
      <c r="BI29" s="6">
        <f t="shared" si="12"/>
        <v>0.125</v>
      </c>
      <c r="BJ29">
        <f t="shared" si="13"/>
        <v>1</v>
      </c>
      <c r="BK29">
        <v>11</v>
      </c>
      <c r="BL29">
        <f>Gameweek_11</f>
        <v>19</v>
      </c>
      <c r="BM29" s="6">
        <f t="shared" si="14"/>
        <v>9.625</v>
      </c>
      <c r="BO29" s="25" t="s">
        <v>58</v>
      </c>
      <c r="BP29" t="s">
        <v>164</v>
      </c>
      <c r="BQ29">
        <v>0</v>
      </c>
      <c r="BR29" s="7">
        <f t="shared" si="27"/>
        <v>0</v>
      </c>
      <c r="BS29">
        <v>3</v>
      </c>
      <c r="BT29" s="6">
        <f t="shared" si="15"/>
        <v>0.375</v>
      </c>
      <c r="BU29">
        <f t="shared" si="28"/>
        <v>0</v>
      </c>
      <c r="BV29">
        <v>5</v>
      </c>
      <c r="BW29">
        <f>Gameweek_12</f>
        <v>19</v>
      </c>
      <c r="BX29" s="6">
        <f t="shared" si="16"/>
        <v>-1.875</v>
      </c>
      <c r="BZ29" s="25" t="s">
        <v>205</v>
      </c>
      <c r="CA29" t="s">
        <v>163</v>
      </c>
      <c r="CB29">
        <v>0</v>
      </c>
      <c r="CC29" s="7">
        <f t="shared" si="17"/>
        <v>0</v>
      </c>
      <c r="CD29">
        <v>0</v>
      </c>
      <c r="CE29" s="6">
        <f t="shared" si="18"/>
        <v>0</v>
      </c>
      <c r="CF29">
        <f t="shared" si="19"/>
        <v>0</v>
      </c>
      <c r="CG29">
        <v>0</v>
      </c>
      <c r="CH29">
        <f>Gameweek_13</f>
        <v>19</v>
      </c>
      <c r="CI29" s="6">
        <f t="shared" si="20"/>
        <v>0</v>
      </c>
      <c r="CK29" s="25" t="s">
        <v>205</v>
      </c>
      <c r="CL29" t="s">
        <v>163</v>
      </c>
      <c r="CM29">
        <v>0</v>
      </c>
      <c r="CN29" s="7">
        <f t="shared" si="21"/>
        <v>0</v>
      </c>
      <c r="CO29">
        <v>0</v>
      </c>
      <c r="CP29" s="6">
        <f t="shared" si="22"/>
        <v>0</v>
      </c>
      <c r="CQ29">
        <f t="shared" si="23"/>
        <v>0</v>
      </c>
      <c r="CR29">
        <v>0</v>
      </c>
      <c r="CS29">
        <f>Gameweek_13</f>
        <v>19</v>
      </c>
      <c r="CT29" s="6">
        <f t="shared" si="24"/>
        <v>0</v>
      </c>
    </row>
    <row r="30" spans="1:98" x14ac:dyDescent="0.2">
      <c r="L30" s="25" t="s">
        <v>43</v>
      </c>
      <c r="N30">
        <v>0</v>
      </c>
      <c r="O30" s="7">
        <f t="shared" si="0"/>
        <v>0</v>
      </c>
      <c r="P30" s="8">
        <v>2</v>
      </c>
      <c r="Q30" s="6">
        <f t="shared" si="1"/>
        <v>0.25</v>
      </c>
      <c r="R30" s="3">
        <v>0</v>
      </c>
      <c r="S30">
        <v>1</v>
      </c>
      <c r="T30">
        <f>Get_Color</f>
        <v>19</v>
      </c>
      <c r="U30" s="6">
        <f t="shared" si="2"/>
        <v>-0.25</v>
      </c>
      <c r="V30" s="6"/>
      <c r="W30" s="25" t="s">
        <v>38</v>
      </c>
      <c r="X30" t="s">
        <v>159</v>
      </c>
      <c r="Y30">
        <v>0</v>
      </c>
      <c r="Z30" s="7">
        <f t="shared" si="31"/>
        <v>0</v>
      </c>
      <c r="AA30">
        <v>1</v>
      </c>
      <c r="AB30" s="6">
        <f t="shared" si="3"/>
        <v>0.125</v>
      </c>
      <c r="AC30">
        <v>0</v>
      </c>
      <c r="AD30" s="8">
        <v>1</v>
      </c>
      <c r="AE30">
        <f>Gameweek_8</f>
        <v>19</v>
      </c>
      <c r="AF30" s="6">
        <f t="shared" si="4"/>
        <v>-0.125</v>
      </c>
      <c r="AH30" s="25" t="s">
        <v>56</v>
      </c>
      <c r="AI30" t="s">
        <v>157</v>
      </c>
      <c r="AJ30">
        <v>0</v>
      </c>
      <c r="AK30" s="7">
        <f t="shared" si="32"/>
        <v>0</v>
      </c>
      <c r="AL30">
        <v>0</v>
      </c>
      <c r="AM30" s="6">
        <f t="shared" si="6"/>
        <v>0</v>
      </c>
      <c r="AN30">
        <v>0</v>
      </c>
      <c r="AO30">
        <v>5</v>
      </c>
      <c r="AP30">
        <f>Gameweek_9</f>
        <v>19</v>
      </c>
      <c r="AQ30" s="6">
        <f t="shared" si="7"/>
        <v>0</v>
      </c>
      <c r="AS30" s="25" t="s">
        <v>44</v>
      </c>
      <c r="AT30" t="s">
        <v>160</v>
      </c>
      <c r="AU30">
        <v>0</v>
      </c>
      <c r="AV30" s="7">
        <f t="shared" si="8"/>
        <v>0</v>
      </c>
      <c r="AW30">
        <v>1</v>
      </c>
      <c r="AX30" s="6">
        <f t="shared" si="9"/>
        <v>0.125</v>
      </c>
      <c r="AY30">
        <v>0</v>
      </c>
      <c r="AZ30">
        <v>0</v>
      </c>
      <c r="BA30">
        <f>Gameweek_10</f>
        <v>19</v>
      </c>
      <c r="BB30" s="6">
        <f t="shared" si="10"/>
        <v>0</v>
      </c>
      <c r="BD30" s="25" t="s">
        <v>143</v>
      </c>
      <c r="BE30" t="s">
        <v>157</v>
      </c>
      <c r="BF30">
        <v>0</v>
      </c>
      <c r="BG30" s="7">
        <f t="shared" si="11"/>
        <v>0</v>
      </c>
      <c r="BH30">
        <v>1</v>
      </c>
      <c r="BI30" s="6">
        <f t="shared" si="12"/>
        <v>0.125</v>
      </c>
      <c r="BJ30">
        <f t="shared" si="13"/>
        <v>1</v>
      </c>
      <c r="BK30">
        <v>7</v>
      </c>
      <c r="BL30">
        <f>Gameweek_11</f>
        <v>19</v>
      </c>
      <c r="BM30" s="6">
        <f t="shared" si="14"/>
        <v>6.125</v>
      </c>
      <c r="BO30" s="25" t="s">
        <v>143</v>
      </c>
      <c r="BP30" t="s">
        <v>157</v>
      </c>
      <c r="BQ30">
        <v>0</v>
      </c>
      <c r="BR30" s="7">
        <f t="shared" si="27"/>
        <v>0</v>
      </c>
      <c r="BS30">
        <v>1</v>
      </c>
      <c r="BT30" s="6">
        <f t="shared" si="15"/>
        <v>0.125</v>
      </c>
      <c r="BU30">
        <f t="shared" si="28"/>
        <v>0</v>
      </c>
      <c r="BV30">
        <v>7</v>
      </c>
      <c r="BW30">
        <f>Gameweek_12</f>
        <v>19</v>
      </c>
      <c r="BX30" s="6">
        <f t="shared" si="16"/>
        <v>-0.875</v>
      </c>
      <c r="BZ30" s="25" t="s">
        <v>35</v>
      </c>
      <c r="CA30" t="s">
        <v>154</v>
      </c>
      <c r="CB30">
        <v>0</v>
      </c>
      <c r="CC30" s="7">
        <f t="shared" si="17"/>
        <v>0</v>
      </c>
      <c r="CD30">
        <v>3</v>
      </c>
      <c r="CE30" s="6">
        <f t="shared" si="18"/>
        <v>0.375</v>
      </c>
      <c r="CF30">
        <f t="shared" si="19"/>
        <v>0</v>
      </c>
      <c r="CG30">
        <v>0</v>
      </c>
      <c r="CH30">
        <f>Gameweek_13</f>
        <v>19</v>
      </c>
      <c r="CI30" s="6">
        <f t="shared" si="20"/>
        <v>0</v>
      </c>
      <c r="CK30" s="25" t="s">
        <v>35</v>
      </c>
      <c r="CL30" t="s">
        <v>154</v>
      </c>
      <c r="CM30">
        <v>0</v>
      </c>
      <c r="CN30" s="7">
        <f t="shared" si="21"/>
        <v>0</v>
      </c>
      <c r="CO30">
        <v>3</v>
      </c>
      <c r="CP30" s="6">
        <f t="shared" si="22"/>
        <v>0.375</v>
      </c>
      <c r="CQ30">
        <f t="shared" si="23"/>
        <v>0</v>
      </c>
      <c r="CR30">
        <v>0</v>
      </c>
      <c r="CS30">
        <f>Gameweek_13</f>
        <v>19</v>
      </c>
      <c r="CT30" s="6">
        <f t="shared" si="24"/>
        <v>0</v>
      </c>
    </row>
    <row r="31" spans="1:98" x14ac:dyDescent="0.2">
      <c r="L31" s="25" t="s">
        <v>44</v>
      </c>
      <c r="N31">
        <v>0</v>
      </c>
      <c r="O31" s="7">
        <f t="shared" si="0"/>
        <v>0</v>
      </c>
      <c r="P31" s="8">
        <v>2</v>
      </c>
      <c r="Q31" s="6">
        <f t="shared" si="1"/>
        <v>0.25</v>
      </c>
      <c r="R31" s="3">
        <v>0</v>
      </c>
      <c r="S31">
        <v>6</v>
      </c>
      <c r="T31">
        <f>Get_Color</f>
        <v>19</v>
      </c>
      <c r="U31" s="6">
        <f t="shared" si="2"/>
        <v>-1.5</v>
      </c>
      <c r="V31" s="6"/>
      <c r="W31" s="25" t="s">
        <v>51</v>
      </c>
      <c r="X31" t="s">
        <v>162</v>
      </c>
      <c r="Y31">
        <v>0</v>
      </c>
      <c r="Z31" s="7">
        <f t="shared" si="31"/>
        <v>0</v>
      </c>
      <c r="AA31">
        <v>1</v>
      </c>
      <c r="AB31" s="6">
        <f t="shared" si="3"/>
        <v>0.125</v>
      </c>
      <c r="AC31">
        <v>0</v>
      </c>
      <c r="AD31" s="8">
        <v>1</v>
      </c>
      <c r="AE31">
        <f>Gameweek_8</f>
        <v>19</v>
      </c>
      <c r="AF31" s="6">
        <f t="shared" si="4"/>
        <v>-0.125</v>
      </c>
      <c r="AH31" s="25" t="s">
        <v>145</v>
      </c>
      <c r="AI31" t="s">
        <v>157</v>
      </c>
      <c r="AJ31">
        <v>0</v>
      </c>
      <c r="AK31" s="7">
        <f t="shared" si="32"/>
        <v>0</v>
      </c>
      <c r="AL31">
        <v>1</v>
      </c>
      <c r="AM31" s="6">
        <f t="shared" si="6"/>
        <v>0.125</v>
      </c>
      <c r="AN31">
        <v>0</v>
      </c>
      <c r="AO31">
        <v>5</v>
      </c>
      <c r="AP31">
        <f>Gameweek_9</f>
        <v>19</v>
      </c>
      <c r="AQ31" s="6">
        <f t="shared" si="7"/>
        <v>-0.625</v>
      </c>
      <c r="AS31" s="25" t="s">
        <v>2</v>
      </c>
      <c r="AT31" t="s">
        <v>153</v>
      </c>
      <c r="AU31">
        <v>0</v>
      </c>
      <c r="AV31" s="7">
        <f t="shared" si="8"/>
        <v>0</v>
      </c>
      <c r="AW31">
        <v>1</v>
      </c>
      <c r="AX31" s="6">
        <f t="shared" si="9"/>
        <v>0.125</v>
      </c>
      <c r="AY31">
        <v>0</v>
      </c>
      <c r="AZ31">
        <v>12</v>
      </c>
      <c r="BA31">
        <f>Gameweek_10</f>
        <v>19</v>
      </c>
      <c r="BB31" s="6">
        <f t="shared" si="10"/>
        <v>-1.5</v>
      </c>
      <c r="BD31" s="25" t="s">
        <v>167</v>
      </c>
      <c r="BE31" t="s">
        <v>157</v>
      </c>
      <c r="BF31">
        <v>0</v>
      </c>
      <c r="BG31" s="7">
        <f t="shared" si="11"/>
        <v>0</v>
      </c>
      <c r="BH31">
        <v>0</v>
      </c>
      <c r="BI31" s="6">
        <f t="shared" si="12"/>
        <v>0</v>
      </c>
      <c r="BJ31">
        <f t="shared" si="13"/>
        <v>1</v>
      </c>
      <c r="BK31">
        <v>3</v>
      </c>
      <c r="BL31">
        <f>Gameweek_11</f>
        <v>19</v>
      </c>
      <c r="BM31" s="6">
        <f t="shared" si="14"/>
        <v>3</v>
      </c>
      <c r="BO31" s="25" t="s">
        <v>167</v>
      </c>
      <c r="BP31" t="s">
        <v>157</v>
      </c>
      <c r="BQ31">
        <v>0</v>
      </c>
      <c r="BR31" s="7">
        <f t="shared" si="27"/>
        <v>0</v>
      </c>
      <c r="BS31">
        <v>0</v>
      </c>
      <c r="BT31" s="6">
        <f t="shared" si="15"/>
        <v>0</v>
      </c>
      <c r="BU31">
        <f t="shared" si="28"/>
        <v>0</v>
      </c>
      <c r="BV31">
        <v>0</v>
      </c>
      <c r="BW31">
        <f>Gameweek_12</f>
        <v>19</v>
      </c>
      <c r="BX31" s="6">
        <f t="shared" si="16"/>
        <v>0</v>
      </c>
      <c r="BZ31" s="4" t="s">
        <v>15</v>
      </c>
      <c r="CA31" t="s">
        <v>158</v>
      </c>
      <c r="CB31">
        <v>0</v>
      </c>
      <c r="CC31" s="7">
        <f t="shared" si="17"/>
        <v>0</v>
      </c>
      <c r="CD31">
        <v>0</v>
      </c>
      <c r="CE31" s="6">
        <f t="shared" si="18"/>
        <v>0</v>
      </c>
      <c r="CF31">
        <f t="shared" si="19"/>
        <v>0</v>
      </c>
      <c r="CG31">
        <v>0</v>
      </c>
      <c r="CH31">
        <f>Gameweek_13</f>
        <v>3</v>
      </c>
      <c r="CI31" s="6">
        <f t="shared" si="20"/>
        <v>0</v>
      </c>
      <c r="CK31" s="4" t="s">
        <v>15</v>
      </c>
      <c r="CL31" t="s">
        <v>158</v>
      </c>
      <c r="CM31">
        <v>0</v>
      </c>
      <c r="CN31" s="7">
        <f t="shared" si="21"/>
        <v>0</v>
      </c>
      <c r="CO31">
        <v>0</v>
      </c>
      <c r="CP31" s="6">
        <f t="shared" si="22"/>
        <v>0</v>
      </c>
      <c r="CQ31">
        <f t="shared" si="23"/>
        <v>0</v>
      </c>
      <c r="CR31">
        <v>0</v>
      </c>
      <c r="CS31">
        <f>Gameweek_13</f>
        <v>3</v>
      </c>
      <c r="CT31" s="6">
        <f t="shared" si="24"/>
        <v>0</v>
      </c>
    </row>
    <row r="32" spans="1:98" x14ac:dyDescent="0.2">
      <c r="L32" s="25" t="s">
        <v>5</v>
      </c>
      <c r="N32">
        <v>0</v>
      </c>
      <c r="O32" s="7">
        <f t="shared" si="0"/>
        <v>0</v>
      </c>
      <c r="P32" s="8">
        <v>2</v>
      </c>
      <c r="Q32" s="6">
        <f t="shared" si="1"/>
        <v>0.25</v>
      </c>
      <c r="R32" s="3">
        <v>0</v>
      </c>
      <c r="S32">
        <v>2</v>
      </c>
      <c r="T32">
        <f>Get_Color</f>
        <v>19</v>
      </c>
      <c r="U32" s="6">
        <f t="shared" si="2"/>
        <v>-0.5</v>
      </c>
      <c r="V32" s="6"/>
      <c r="W32" s="25" t="s">
        <v>64</v>
      </c>
      <c r="Y32">
        <v>0</v>
      </c>
      <c r="Z32" s="7">
        <f t="shared" si="31"/>
        <v>0</v>
      </c>
      <c r="AA32">
        <v>1</v>
      </c>
      <c r="AB32" s="6">
        <f t="shared" si="3"/>
        <v>0.125</v>
      </c>
      <c r="AC32">
        <v>0</v>
      </c>
      <c r="AD32" s="8">
        <v>1</v>
      </c>
      <c r="AE32">
        <f>Gameweek_8</f>
        <v>19</v>
      </c>
      <c r="AF32" s="6">
        <f t="shared" si="4"/>
        <v>-0.125</v>
      </c>
      <c r="AH32" s="25" t="s">
        <v>59</v>
      </c>
      <c r="AI32" t="s">
        <v>163</v>
      </c>
      <c r="AJ32">
        <v>0</v>
      </c>
      <c r="AK32" s="7">
        <f t="shared" si="32"/>
        <v>0</v>
      </c>
      <c r="AL32">
        <v>1</v>
      </c>
      <c r="AM32" s="6">
        <f t="shared" si="6"/>
        <v>0.125</v>
      </c>
      <c r="AN32">
        <v>0</v>
      </c>
      <c r="AO32">
        <v>3</v>
      </c>
      <c r="AP32">
        <f>Gameweek_9</f>
        <v>19</v>
      </c>
      <c r="AQ32" s="6">
        <f t="shared" si="7"/>
        <v>-0.375</v>
      </c>
      <c r="AS32" s="25" t="s">
        <v>204</v>
      </c>
      <c r="AT32" t="s">
        <v>171</v>
      </c>
      <c r="AU32">
        <v>0</v>
      </c>
      <c r="AV32" s="7">
        <f t="shared" si="8"/>
        <v>0</v>
      </c>
      <c r="AW32">
        <v>1</v>
      </c>
      <c r="AX32" s="6">
        <f t="shared" si="9"/>
        <v>0.125</v>
      </c>
      <c r="AY32">
        <v>0</v>
      </c>
      <c r="AZ32">
        <v>0</v>
      </c>
      <c r="BA32">
        <f>Gameweek_10</f>
        <v>19</v>
      </c>
      <c r="BB32" s="6">
        <f t="shared" si="10"/>
        <v>0</v>
      </c>
      <c r="BD32" s="25" t="s">
        <v>60</v>
      </c>
      <c r="BE32" t="s">
        <v>157</v>
      </c>
      <c r="BF32">
        <v>0</v>
      </c>
      <c r="BG32" s="7">
        <f t="shared" si="11"/>
        <v>0</v>
      </c>
      <c r="BH32">
        <v>1</v>
      </c>
      <c r="BI32" s="6">
        <f t="shared" si="12"/>
        <v>0.125</v>
      </c>
      <c r="BJ32">
        <f t="shared" si="13"/>
        <v>1</v>
      </c>
      <c r="BK32">
        <v>6</v>
      </c>
      <c r="BL32">
        <f>Gameweek_11</f>
        <v>19</v>
      </c>
      <c r="BM32" s="6">
        <f t="shared" si="14"/>
        <v>5.25</v>
      </c>
      <c r="BO32" s="25" t="s">
        <v>60</v>
      </c>
      <c r="BP32" t="s">
        <v>157</v>
      </c>
      <c r="BQ32">
        <v>0</v>
      </c>
      <c r="BR32" s="7">
        <f t="shared" si="27"/>
        <v>0</v>
      </c>
      <c r="BS32">
        <v>2</v>
      </c>
      <c r="BT32" s="6">
        <f t="shared" si="15"/>
        <v>0.25</v>
      </c>
      <c r="BU32">
        <f t="shared" si="28"/>
        <v>0</v>
      </c>
      <c r="BV32">
        <v>0</v>
      </c>
      <c r="BW32">
        <f>Gameweek_12</f>
        <v>19</v>
      </c>
      <c r="BX32" s="6">
        <f t="shared" si="16"/>
        <v>0</v>
      </c>
      <c r="BZ32" s="25" t="s">
        <v>173</v>
      </c>
      <c r="CA32" t="s">
        <v>158</v>
      </c>
      <c r="CB32">
        <v>0</v>
      </c>
      <c r="CC32" s="7">
        <f t="shared" si="17"/>
        <v>0</v>
      </c>
      <c r="CD32">
        <v>1</v>
      </c>
      <c r="CE32" s="6">
        <f t="shared" si="18"/>
        <v>0.125</v>
      </c>
      <c r="CF32">
        <f t="shared" si="19"/>
        <v>0</v>
      </c>
      <c r="CG32">
        <v>2</v>
      </c>
      <c r="CH32">
        <f>Gameweek_13</f>
        <v>19</v>
      </c>
      <c r="CI32" s="6">
        <f t="shared" si="20"/>
        <v>-0.25</v>
      </c>
      <c r="CK32" s="25" t="s">
        <v>173</v>
      </c>
      <c r="CL32" t="s">
        <v>158</v>
      </c>
      <c r="CM32">
        <v>0</v>
      </c>
      <c r="CN32" s="7">
        <f t="shared" si="21"/>
        <v>0</v>
      </c>
      <c r="CO32">
        <v>0</v>
      </c>
      <c r="CP32" s="6">
        <f t="shared" si="22"/>
        <v>0</v>
      </c>
      <c r="CQ32">
        <f t="shared" si="23"/>
        <v>0</v>
      </c>
      <c r="CR32">
        <v>0</v>
      </c>
      <c r="CS32">
        <f>Gameweek_13</f>
        <v>19</v>
      </c>
      <c r="CT32" s="6">
        <f t="shared" si="24"/>
        <v>0</v>
      </c>
    </row>
    <row r="33" spans="12:98" x14ac:dyDescent="0.2">
      <c r="L33" s="25" t="s">
        <v>45</v>
      </c>
      <c r="N33">
        <v>0</v>
      </c>
      <c r="O33" s="7">
        <f t="shared" si="0"/>
        <v>0</v>
      </c>
      <c r="P33" s="8">
        <v>1</v>
      </c>
      <c r="Q33" s="6">
        <f t="shared" si="1"/>
        <v>0.125</v>
      </c>
      <c r="R33" s="3">
        <v>0</v>
      </c>
      <c r="S33">
        <v>0</v>
      </c>
      <c r="T33">
        <f>Get_Color</f>
        <v>19</v>
      </c>
      <c r="U33" s="6">
        <f t="shared" si="2"/>
        <v>0</v>
      </c>
      <c r="V33" s="6"/>
      <c r="W33" s="25" t="s">
        <v>53</v>
      </c>
      <c r="X33" t="s">
        <v>162</v>
      </c>
      <c r="Y33">
        <v>0</v>
      </c>
      <c r="Z33" s="7">
        <f t="shared" si="31"/>
        <v>0</v>
      </c>
      <c r="AA33">
        <v>1</v>
      </c>
      <c r="AB33" s="6">
        <f t="shared" si="3"/>
        <v>0.125</v>
      </c>
      <c r="AC33">
        <v>0</v>
      </c>
      <c r="AD33" s="8">
        <v>1</v>
      </c>
      <c r="AE33">
        <f>Gameweek_8</f>
        <v>19</v>
      </c>
      <c r="AF33" s="6">
        <f t="shared" si="4"/>
        <v>-0.125</v>
      </c>
      <c r="AH33" s="25" t="s">
        <v>47</v>
      </c>
      <c r="AI33" t="s">
        <v>160</v>
      </c>
      <c r="AJ33">
        <v>0</v>
      </c>
      <c r="AK33" s="7">
        <f t="shared" si="32"/>
        <v>0</v>
      </c>
      <c r="AL33">
        <v>2</v>
      </c>
      <c r="AM33" s="6">
        <f t="shared" si="6"/>
        <v>0.25</v>
      </c>
      <c r="AN33">
        <v>0</v>
      </c>
      <c r="AO33">
        <v>3</v>
      </c>
      <c r="AP33">
        <f>Gameweek_9</f>
        <v>19</v>
      </c>
      <c r="AQ33" s="6">
        <f t="shared" si="7"/>
        <v>-0.75</v>
      </c>
      <c r="AS33" s="25" t="s">
        <v>137</v>
      </c>
      <c r="AT33" t="s">
        <v>156</v>
      </c>
      <c r="AU33">
        <v>0</v>
      </c>
      <c r="AV33" s="7">
        <f t="shared" si="8"/>
        <v>0</v>
      </c>
      <c r="AW33">
        <v>0</v>
      </c>
      <c r="AX33" s="6">
        <f t="shared" si="9"/>
        <v>0</v>
      </c>
      <c r="AY33">
        <v>0</v>
      </c>
      <c r="AZ33">
        <v>0</v>
      </c>
      <c r="BA33">
        <f>Gameweek_10</f>
        <v>19</v>
      </c>
      <c r="BB33" s="6">
        <f t="shared" si="10"/>
        <v>0</v>
      </c>
      <c r="BD33" s="25" t="s">
        <v>138</v>
      </c>
      <c r="BE33" t="s">
        <v>157</v>
      </c>
      <c r="BF33">
        <v>0</v>
      </c>
      <c r="BG33" s="7">
        <f t="shared" si="11"/>
        <v>0</v>
      </c>
      <c r="BH33">
        <v>0</v>
      </c>
      <c r="BI33" s="6">
        <f t="shared" si="12"/>
        <v>0</v>
      </c>
      <c r="BJ33">
        <f t="shared" si="13"/>
        <v>1</v>
      </c>
      <c r="BK33">
        <v>0</v>
      </c>
      <c r="BL33">
        <f>Gameweek_11</f>
        <v>19</v>
      </c>
      <c r="BM33" s="6">
        <f t="shared" si="14"/>
        <v>0</v>
      </c>
      <c r="BO33" s="25" t="s">
        <v>138</v>
      </c>
      <c r="BP33" t="s">
        <v>157</v>
      </c>
      <c r="BQ33">
        <v>0</v>
      </c>
      <c r="BR33" s="7">
        <f t="shared" si="27"/>
        <v>0</v>
      </c>
      <c r="BS33">
        <v>0</v>
      </c>
      <c r="BT33" s="6">
        <f t="shared" si="15"/>
        <v>0</v>
      </c>
      <c r="BU33">
        <f t="shared" si="28"/>
        <v>0</v>
      </c>
      <c r="BV33">
        <v>5</v>
      </c>
      <c r="BW33">
        <f>Gameweek_12</f>
        <v>19</v>
      </c>
      <c r="BX33" s="6">
        <f t="shared" si="16"/>
        <v>0</v>
      </c>
      <c r="BZ33" s="25" t="s">
        <v>231</v>
      </c>
      <c r="CA33" t="s">
        <v>158</v>
      </c>
      <c r="CB33">
        <v>0</v>
      </c>
      <c r="CC33" s="7">
        <f t="shared" si="17"/>
        <v>0</v>
      </c>
      <c r="CD33">
        <v>1</v>
      </c>
      <c r="CE33" s="6">
        <f t="shared" si="18"/>
        <v>0.125</v>
      </c>
      <c r="CF33">
        <f t="shared" si="19"/>
        <v>0</v>
      </c>
      <c r="CG33">
        <v>6</v>
      </c>
      <c r="CH33">
        <f>Gameweek_13</f>
        <v>19</v>
      </c>
      <c r="CI33" s="6">
        <f t="shared" si="20"/>
        <v>-0.75</v>
      </c>
      <c r="CK33" s="25" t="s">
        <v>231</v>
      </c>
      <c r="CL33" t="s">
        <v>158</v>
      </c>
      <c r="CM33">
        <v>0</v>
      </c>
      <c r="CN33" s="7">
        <f t="shared" si="21"/>
        <v>0</v>
      </c>
      <c r="CO33">
        <v>0</v>
      </c>
      <c r="CP33" s="6">
        <f t="shared" si="22"/>
        <v>0</v>
      </c>
      <c r="CQ33">
        <f t="shared" si="23"/>
        <v>0</v>
      </c>
      <c r="CR33">
        <v>0</v>
      </c>
      <c r="CS33">
        <f>Gameweek_13</f>
        <v>19</v>
      </c>
      <c r="CT33" s="6">
        <f t="shared" si="24"/>
        <v>0</v>
      </c>
    </row>
    <row r="34" spans="12:98" x14ac:dyDescent="0.2">
      <c r="L34" s="25" t="s">
        <v>46</v>
      </c>
      <c r="N34">
        <v>0</v>
      </c>
      <c r="O34" s="7">
        <f t="shared" si="0"/>
        <v>0</v>
      </c>
      <c r="P34" s="8">
        <v>1</v>
      </c>
      <c r="Q34" s="6">
        <f t="shared" si="1"/>
        <v>0.125</v>
      </c>
      <c r="R34" s="3">
        <v>0</v>
      </c>
      <c r="S34">
        <v>5</v>
      </c>
      <c r="T34">
        <f>Get_Color</f>
        <v>19</v>
      </c>
      <c r="U34" s="6">
        <f t="shared" si="2"/>
        <v>-0.625</v>
      </c>
      <c r="V34" s="6"/>
      <c r="W34" s="25" t="s">
        <v>44</v>
      </c>
      <c r="X34" t="s">
        <v>160</v>
      </c>
      <c r="Y34">
        <v>0</v>
      </c>
      <c r="Z34" s="7">
        <f t="shared" si="31"/>
        <v>0</v>
      </c>
      <c r="AA34">
        <v>1</v>
      </c>
      <c r="AB34" s="6">
        <f t="shared" si="3"/>
        <v>0.125</v>
      </c>
      <c r="AC34">
        <v>0</v>
      </c>
      <c r="AD34" s="8">
        <v>1</v>
      </c>
      <c r="AE34">
        <f>Gameweek_8</f>
        <v>19</v>
      </c>
      <c r="AF34" s="6">
        <f t="shared" si="4"/>
        <v>-0.125</v>
      </c>
      <c r="AH34" s="25" t="s">
        <v>127</v>
      </c>
      <c r="AI34" t="s">
        <v>155</v>
      </c>
      <c r="AJ34">
        <v>0</v>
      </c>
      <c r="AK34" s="7">
        <f t="shared" si="32"/>
        <v>0</v>
      </c>
      <c r="AL34">
        <v>3</v>
      </c>
      <c r="AM34" s="6">
        <f t="shared" si="6"/>
        <v>0.375</v>
      </c>
      <c r="AN34">
        <v>0</v>
      </c>
      <c r="AO34">
        <v>3</v>
      </c>
      <c r="AP34">
        <f>Gameweek_9</f>
        <v>19</v>
      </c>
      <c r="AQ34" s="6">
        <f t="shared" si="7"/>
        <v>-1.125</v>
      </c>
      <c r="AS34" s="25" t="s">
        <v>52</v>
      </c>
      <c r="AT34" t="s">
        <v>148</v>
      </c>
      <c r="AU34">
        <v>0</v>
      </c>
      <c r="AV34" s="7">
        <f t="shared" si="8"/>
        <v>0</v>
      </c>
      <c r="AW34">
        <v>1</v>
      </c>
      <c r="AX34" s="6">
        <f t="shared" si="9"/>
        <v>0.125</v>
      </c>
      <c r="AY34">
        <v>0</v>
      </c>
      <c r="AZ34">
        <v>2</v>
      </c>
      <c r="BA34">
        <f>Gameweek_10</f>
        <v>19</v>
      </c>
      <c r="BB34" s="6">
        <f t="shared" si="10"/>
        <v>-0.25</v>
      </c>
      <c r="BD34" s="25" t="s">
        <v>36</v>
      </c>
      <c r="BE34" t="s">
        <v>153</v>
      </c>
      <c r="BF34">
        <v>0</v>
      </c>
      <c r="BG34" s="7">
        <f t="shared" si="11"/>
        <v>0</v>
      </c>
      <c r="BH34">
        <v>1</v>
      </c>
      <c r="BI34" s="6">
        <f t="shared" si="12"/>
        <v>0.125</v>
      </c>
      <c r="BJ34">
        <f t="shared" si="13"/>
        <v>1</v>
      </c>
      <c r="BK34">
        <v>2</v>
      </c>
      <c r="BL34">
        <f>Gameweek_11</f>
        <v>19</v>
      </c>
      <c r="BM34" s="6">
        <f t="shared" si="14"/>
        <v>1.75</v>
      </c>
      <c r="BO34" s="25" t="s">
        <v>36</v>
      </c>
      <c r="BP34" t="s">
        <v>153</v>
      </c>
      <c r="BQ34">
        <v>0</v>
      </c>
      <c r="BR34" s="7">
        <f t="shared" si="27"/>
        <v>0</v>
      </c>
      <c r="BS34">
        <v>1</v>
      </c>
      <c r="BT34" s="6">
        <f t="shared" si="15"/>
        <v>0.125</v>
      </c>
      <c r="BU34">
        <f t="shared" si="28"/>
        <v>0</v>
      </c>
      <c r="BV34">
        <v>0</v>
      </c>
      <c r="BW34">
        <f>Gameweek_12</f>
        <v>19</v>
      </c>
      <c r="BX34" s="6">
        <f t="shared" si="16"/>
        <v>0</v>
      </c>
      <c r="BZ34" s="25" t="s">
        <v>3</v>
      </c>
      <c r="CA34" t="s">
        <v>148</v>
      </c>
      <c r="CB34">
        <v>0</v>
      </c>
      <c r="CC34" s="7">
        <f t="shared" si="17"/>
        <v>0</v>
      </c>
      <c r="CD34">
        <v>5</v>
      </c>
      <c r="CE34" s="6">
        <f t="shared" si="18"/>
        <v>0.625</v>
      </c>
      <c r="CF34">
        <f t="shared" si="19"/>
        <v>0</v>
      </c>
      <c r="CG34">
        <v>2</v>
      </c>
      <c r="CH34">
        <f>Gameweek_13</f>
        <v>19</v>
      </c>
      <c r="CI34" s="6">
        <f t="shared" si="20"/>
        <v>-1.25</v>
      </c>
      <c r="CK34" s="25" t="s">
        <v>3</v>
      </c>
      <c r="CL34" t="s">
        <v>148</v>
      </c>
      <c r="CM34">
        <v>0</v>
      </c>
      <c r="CN34" s="7">
        <f t="shared" si="21"/>
        <v>0</v>
      </c>
      <c r="CO34">
        <v>5</v>
      </c>
      <c r="CP34" s="6">
        <f t="shared" si="22"/>
        <v>0.625</v>
      </c>
      <c r="CQ34">
        <f t="shared" si="23"/>
        <v>0</v>
      </c>
      <c r="CR34">
        <v>0</v>
      </c>
      <c r="CS34">
        <f>Gameweek_13</f>
        <v>19</v>
      </c>
      <c r="CT34" s="6">
        <f t="shared" si="24"/>
        <v>0</v>
      </c>
    </row>
    <row r="35" spans="12:98" x14ac:dyDescent="0.2">
      <c r="L35" s="25" t="s">
        <v>47</v>
      </c>
      <c r="N35">
        <v>0</v>
      </c>
      <c r="O35" s="7">
        <f t="shared" si="0"/>
        <v>0</v>
      </c>
      <c r="P35" s="8">
        <v>1</v>
      </c>
      <c r="Q35" s="6">
        <f t="shared" si="1"/>
        <v>0.125</v>
      </c>
      <c r="R35" s="3">
        <v>0</v>
      </c>
      <c r="S35">
        <v>6</v>
      </c>
      <c r="T35">
        <f>Get_Color</f>
        <v>19</v>
      </c>
      <c r="U35" s="6">
        <f t="shared" si="2"/>
        <v>-0.75</v>
      </c>
      <c r="V35" s="6"/>
      <c r="W35" s="25" t="s">
        <v>39</v>
      </c>
      <c r="X35" t="s">
        <v>160</v>
      </c>
      <c r="Y35">
        <v>0</v>
      </c>
      <c r="Z35" s="7">
        <f t="shared" si="31"/>
        <v>0</v>
      </c>
      <c r="AA35">
        <v>1</v>
      </c>
      <c r="AB35" s="6">
        <f t="shared" si="3"/>
        <v>0.125</v>
      </c>
      <c r="AC35">
        <v>0</v>
      </c>
      <c r="AD35" s="8">
        <v>1</v>
      </c>
      <c r="AE35">
        <f>Gameweek_8</f>
        <v>19</v>
      </c>
      <c r="AF35" s="6">
        <f t="shared" si="4"/>
        <v>-0.125</v>
      </c>
      <c r="AH35" s="25" t="s">
        <v>37</v>
      </c>
      <c r="AI35" t="s">
        <v>148</v>
      </c>
      <c r="AJ35">
        <v>0</v>
      </c>
      <c r="AK35" s="7">
        <f t="shared" si="32"/>
        <v>0</v>
      </c>
      <c r="AL35">
        <v>2</v>
      </c>
      <c r="AM35" s="6">
        <f t="shared" si="6"/>
        <v>0.25</v>
      </c>
      <c r="AN35">
        <v>0</v>
      </c>
      <c r="AO35">
        <v>3</v>
      </c>
      <c r="AP35">
        <f>Gameweek_9</f>
        <v>19</v>
      </c>
      <c r="AQ35" s="6">
        <f t="shared" si="7"/>
        <v>-0.75</v>
      </c>
      <c r="AS35" s="25" t="s">
        <v>51</v>
      </c>
      <c r="AT35" t="s">
        <v>162</v>
      </c>
      <c r="AU35">
        <v>0</v>
      </c>
      <c r="AV35" s="7">
        <f t="shared" si="8"/>
        <v>0</v>
      </c>
      <c r="AW35">
        <v>1</v>
      </c>
      <c r="AX35" s="6">
        <f t="shared" si="9"/>
        <v>0.125</v>
      </c>
      <c r="AY35">
        <v>0</v>
      </c>
      <c r="AZ35">
        <v>1</v>
      </c>
      <c r="BA35">
        <f>Gameweek_10</f>
        <v>19</v>
      </c>
      <c r="BB35" s="6">
        <f t="shared" si="10"/>
        <v>-0.125</v>
      </c>
      <c r="BD35" s="25" t="s">
        <v>139</v>
      </c>
      <c r="BE35" t="s">
        <v>152</v>
      </c>
      <c r="BF35">
        <v>0</v>
      </c>
      <c r="BG35" s="7">
        <f t="shared" si="11"/>
        <v>0</v>
      </c>
      <c r="BH35">
        <v>1</v>
      </c>
      <c r="BI35" s="6">
        <f t="shared" si="12"/>
        <v>0.125</v>
      </c>
      <c r="BJ35">
        <f t="shared" si="13"/>
        <v>1</v>
      </c>
      <c r="BK35">
        <v>3</v>
      </c>
      <c r="BL35">
        <f>Gameweek_11</f>
        <v>19</v>
      </c>
      <c r="BM35" s="6">
        <f t="shared" si="14"/>
        <v>2.625</v>
      </c>
      <c r="BO35" s="25" t="s">
        <v>139</v>
      </c>
      <c r="BP35" t="s">
        <v>152</v>
      </c>
      <c r="BQ35">
        <v>0</v>
      </c>
      <c r="BR35" s="7">
        <f t="shared" si="27"/>
        <v>0</v>
      </c>
      <c r="BS35">
        <v>1</v>
      </c>
      <c r="BT35" s="6">
        <f t="shared" si="15"/>
        <v>0.125</v>
      </c>
      <c r="BU35">
        <f t="shared" si="28"/>
        <v>0</v>
      </c>
      <c r="BV35">
        <v>2</v>
      </c>
      <c r="BW35">
        <f>Gameweek_12</f>
        <v>19</v>
      </c>
      <c r="BX35" s="6">
        <f t="shared" si="16"/>
        <v>-0.25</v>
      </c>
      <c r="BZ35" s="25" t="s">
        <v>52</v>
      </c>
      <c r="CA35" t="s">
        <v>148</v>
      </c>
      <c r="CB35">
        <v>0</v>
      </c>
      <c r="CC35" s="7">
        <f t="shared" si="17"/>
        <v>0</v>
      </c>
      <c r="CD35">
        <v>1</v>
      </c>
      <c r="CE35" s="6">
        <f t="shared" si="18"/>
        <v>0.125</v>
      </c>
      <c r="CF35">
        <f t="shared" si="19"/>
        <v>0</v>
      </c>
      <c r="CG35">
        <v>2</v>
      </c>
      <c r="CH35">
        <f>Gameweek_13</f>
        <v>19</v>
      </c>
      <c r="CI35" s="6">
        <f t="shared" si="20"/>
        <v>-0.25</v>
      </c>
      <c r="CK35" s="25" t="s">
        <v>52</v>
      </c>
      <c r="CL35" t="s">
        <v>148</v>
      </c>
      <c r="CM35">
        <v>0</v>
      </c>
      <c r="CN35" s="7">
        <f t="shared" si="21"/>
        <v>0</v>
      </c>
      <c r="CO35">
        <v>0</v>
      </c>
      <c r="CP35" s="6">
        <f t="shared" si="22"/>
        <v>0</v>
      </c>
      <c r="CQ35">
        <f t="shared" si="23"/>
        <v>0</v>
      </c>
      <c r="CR35">
        <v>0</v>
      </c>
      <c r="CS35">
        <f>Gameweek_13</f>
        <v>19</v>
      </c>
      <c r="CT35" s="6">
        <f t="shared" si="24"/>
        <v>0</v>
      </c>
    </row>
    <row r="36" spans="12:98" x14ac:dyDescent="0.2">
      <c r="L36" s="25" t="s">
        <v>48</v>
      </c>
      <c r="N36">
        <v>0</v>
      </c>
      <c r="O36" s="7">
        <f t="shared" si="0"/>
        <v>0</v>
      </c>
      <c r="P36" s="8">
        <v>1</v>
      </c>
      <c r="Q36" s="6">
        <f t="shared" si="1"/>
        <v>0.125</v>
      </c>
      <c r="R36" s="3">
        <v>0</v>
      </c>
      <c r="S36">
        <v>0</v>
      </c>
      <c r="T36">
        <f>Get_Color</f>
        <v>19</v>
      </c>
      <c r="U36" s="6">
        <f t="shared" si="2"/>
        <v>0</v>
      </c>
      <c r="V36" s="6"/>
      <c r="W36" s="25" t="s">
        <v>165</v>
      </c>
      <c r="X36" t="s">
        <v>150</v>
      </c>
      <c r="Y36">
        <v>0</v>
      </c>
      <c r="Z36" s="7">
        <f t="shared" si="31"/>
        <v>0</v>
      </c>
      <c r="AA36">
        <v>1</v>
      </c>
      <c r="AB36" s="6">
        <f t="shared" si="3"/>
        <v>0.125</v>
      </c>
      <c r="AC36">
        <v>0</v>
      </c>
      <c r="AD36" s="8">
        <v>1</v>
      </c>
      <c r="AE36">
        <f>Gameweek_8</f>
        <v>19</v>
      </c>
      <c r="AF36" s="6">
        <f t="shared" si="4"/>
        <v>-0.125</v>
      </c>
      <c r="AH36" s="25" t="s">
        <v>39</v>
      </c>
      <c r="AI36" t="s">
        <v>160</v>
      </c>
      <c r="AJ36">
        <v>0</v>
      </c>
      <c r="AK36" s="7">
        <f t="shared" si="32"/>
        <v>0</v>
      </c>
      <c r="AL36">
        <v>1</v>
      </c>
      <c r="AM36" s="6">
        <f t="shared" si="6"/>
        <v>0.125</v>
      </c>
      <c r="AN36">
        <v>0</v>
      </c>
      <c r="AO36">
        <v>2</v>
      </c>
      <c r="AP36">
        <f>Gameweek_9</f>
        <v>19</v>
      </c>
      <c r="AQ36" s="6">
        <f t="shared" si="7"/>
        <v>-0.25</v>
      </c>
      <c r="AS36" s="25" t="s">
        <v>140</v>
      </c>
      <c r="AT36" t="s">
        <v>159</v>
      </c>
      <c r="AU36">
        <v>0</v>
      </c>
      <c r="AV36" s="7">
        <f t="shared" si="8"/>
        <v>0</v>
      </c>
      <c r="AX36" s="6">
        <f t="shared" si="9"/>
        <v>0</v>
      </c>
      <c r="AY36">
        <v>0</v>
      </c>
      <c r="AZ36">
        <v>0</v>
      </c>
      <c r="BA36">
        <f>Gameweek_10</f>
        <v>19</v>
      </c>
      <c r="BB36" s="6">
        <f t="shared" si="10"/>
        <v>0</v>
      </c>
      <c r="BD36" s="25" t="s">
        <v>6</v>
      </c>
      <c r="BE36" t="s">
        <v>152</v>
      </c>
      <c r="BF36">
        <v>0</v>
      </c>
      <c r="BG36" s="7">
        <f t="shared" si="11"/>
        <v>0</v>
      </c>
      <c r="BH36">
        <v>2</v>
      </c>
      <c r="BI36" s="6">
        <f t="shared" si="12"/>
        <v>0.25</v>
      </c>
      <c r="BJ36">
        <f t="shared" si="13"/>
        <v>1</v>
      </c>
      <c r="BK36">
        <v>3</v>
      </c>
      <c r="BL36">
        <f>Gameweek_11</f>
        <v>19</v>
      </c>
      <c r="BM36" s="6">
        <f t="shared" si="14"/>
        <v>2.25</v>
      </c>
      <c r="BO36" s="25" t="s">
        <v>6</v>
      </c>
      <c r="BP36" t="s">
        <v>152</v>
      </c>
      <c r="BQ36">
        <v>0</v>
      </c>
      <c r="BR36" s="7">
        <f t="shared" si="27"/>
        <v>0</v>
      </c>
      <c r="BS36">
        <v>1</v>
      </c>
      <c r="BT36" s="6">
        <f t="shared" si="15"/>
        <v>0.125</v>
      </c>
      <c r="BU36">
        <f t="shared" si="28"/>
        <v>0</v>
      </c>
      <c r="BV36">
        <v>1</v>
      </c>
      <c r="BW36">
        <f>Gameweek_12</f>
        <v>19</v>
      </c>
      <c r="BX36" s="6">
        <f t="shared" si="16"/>
        <v>-0.125</v>
      </c>
      <c r="BZ36" s="25" t="s">
        <v>37</v>
      </c>
      <c r="CA36" t="s">
        <v>148</v>
      </c>
      <c r="CB36">
        <v>0</v>
      </c>
      <c r="CC36" s="7">
        <f t="shared" si="17"/>
        <v>0</v>
      </c>
      <c r="CD36">
        <v>1</v>
      </c>
      <c r="CE36" s="6">
        <f t="shared" si="18"/>
        <v>0.125</v>
      </c>
      <c r="CF36">
        <f t="shared" si="19"/>
        <v>0</v>
      </c>
      <c r="CG36">
        <v>1</v>
      </c>
      <c r="CH36">
        <f>Gameweek_13</f>
        <v>19</v>
      </c>
      <c r="CI36" s="6">
        <f t="shared" si="20"/>
        <v>-0.125</v>
      </c>
      <c r="CK36" s="25" t="s">
        <v>37</v>
      </c>
      <c r="CL36" t="s">
        <v>148</v>
      </c>
      <c r="CM36">
        <v>0</v>
      </c>
      <c r="CN36" s="7">
        <f t="shared" si="21"/>
        <v>0</v>
      </c>
      <c r="CO36">
        <v>1</v>
      </c>
      <c r="CP36" s="6">
        <f t="shared" si="22"/>
        <v>0.125</v>
      </c>
      <c r="CQ36">
        <f t="shared" si="23"/>
        <v>0</v>
      </c>
      <c r="CR36">
        <v>0</v>
      </c>
      <c r="CS36">
        <f>Gameweek_13</f>
        <v>19</v>
      </c>
      <c r="CT36" s="6">
        <f t="shared" si="24"/>
        <v>0</v>
      </c>
    </row>
    <row r="37" spans="12:98" x14ac:dyDescent="0.2">
      <c r="L37" s="25" t="s">
        <v>49</v>
      </c>
      <c r="N37">
        <v>0</v>
      </c>
      <c r="O37" s="7">
        <f t="shared" si="0"/>
        <v>0</v>
      </c>
      <c r="P37" s="8">
        <v>1</v>
      </c>
      <c r="Q37" s="6">
        <f t="shared" si="1"/>
        <v>0.125</v>
      </c>
      <c r="R37" s="3">
        <v>0</v>
      </c>
      <c r="S37">
        <v>2</v>
      </c>
      <c r="T37">
        <f>Get_Color</f>
        <v>19</v>
      </c>
      <c r="U37" s="6">
        <f t="shared" si="2"/>
        <v>-0.25</v>
      </c>
      <c r="V37" s="6"/>
      <c r="W37" s="25" t="s">
        <v>65</v>
      </c>
      <c r="X37" t="s">
        <v>162</v>
      </c>
      <c r="Y37">
        <v>0</v>
      </c>
      <c r="Z37" s="7">
        <f t="shared" si="31"/>
        <v>0</v>
      </c>
      <c r="AA37">
        <v>0</v>
      </c>
      <c r="AB37" s="6">
        <f t="shared" si="3"/>
        <v>0</v>
      </c>
      <c r="AC37">
        <v>0</v>
      </c>
      <c r="AD37" s="8">
        <v>6</v>
      </c>
      <c r="AE37">
        <f>Gameweek_8</f>
        <v>19</v>
      </c>
      <c r="AF37" s="6">
        <f t="shared" si="4"/>
        <v>0</v>
      </c>
      <c r="AH37" s="25" t="s">
        <v>139</v>
      </c>
      <c r="AI37" t="s">
        <v>152</v>
      </c>
      <c r="AJ37">
        <v>0</v>
      </c>
      <c r="AK37" s="7">
        <f t="shared" si="32"/>
        <v>0</v>
      </c>
      <c r="AL37">
        <v>1</v>
      </c>
      <c r="AM37" s="6">
        <f t="shared" si="6"/>
        <v>0.125</v>
      </c>
      <c r="AN37">
        <v>0</v>
      </c>
      <c r="AO37">
        <v>2</v>
      </c>
      <c r="AP37">
        <f>Gameweek_9</f>
        <v>19</v>
      </c>
      <c r="AQ37" s="6">
        <f t="shared" si="7"/>
        <v>-0.25</v>
      </c>
      <c r="AS37" s="25" t="s">
        <v>146</v>
      </c>
      <c r="AT37" t="s">
        <v>159</v>
      </c>
      <c r="AU37">
        <v>0</v>
      </c>
      <c r="AV37" s="7">
        <f t="shared" si="8"/>
        <v>0</v>
      </c>
      <c r="AX37" s="6">
        <f t="shared" si="9"/>
        <v>0</v>
      </c>
      <c r="AY37">
        <v>0</v>
      </c>
      <c r="AZ37">
        <v>0</v>
      </c>
      <c r="BA37">
        <f>Gameweek_10</f>
        <v>19</v>
      </c>
      <c r="BB37" s="6">
        <f t="shared" si="10"/>
        <v>0</v>
      </c>
      <c r="BD37" s="25" t="s">
        <v>40</v>
      </c>
      <c r="BE37" t="s">
        <v>153</v>
      </c>
      <c r="BF37">
        <v>0</v>
      </c>
      <c r="BG37" s="7">
        <f t="shared" si="11"/>
        <v>0</v>
      </c>
      <c r="BH37">
        <v>1</v>
      </c>
      <c r="BI37" s="6">
        <f t="shared" si="12"/>
        <v>0.125</v>
      </c>
      <c r="BJ37">
        <f t="shared" si="13"/>
        <v>1</v>
      </c>
      <c r="BK37">
        <v>1</v>
      </c>
      <c r="BL37">
        <f>Gameweek_11</f>
        <v>19</v>
      </c>
      <c r="BM37" s="6">
        <f t="shared" si="14"/>
        <v>0.875</v>
      </c>
      <c r="BO37" s="25" t="s">
        <v>40</v>
      </c>
      <c r="BP37" t="s">
        <v>153</v>
      </c>
      <c r="BQ37">
        <v>0</v>
      </c>
      <c r="BR37" s="7">
        <f t="shared" si="27"/>
        <v>0</v>
      </c>
      <c r="BS37">
        <v>1</v>
      </c>
      <c r="BT37" s="6">
        <f t="shared" si="15"/>
        <v>0.125</v>
      </c>
      <c r="BU37">
        <f t="shared" si="28"/>
        <v>0</v>
      </c>
      <c r="BV37">
        <v>1</v>
      </c>
      <c r="BW37">
        <f>Gameweek_12</f>
        <v>19</v>
      </c>
      <c r="BX37" s="6">
        <f t="shared" si="16"/>
        <v>-0.125</v>
      </c>
      <c r="BZ37" s="25" t="s">
        <v>219</v>
      </c>
      <c r="CA37" t="s">
        <v>171</v>
      </c>
      <c r="CB37">
        <v>0</v>
      </c>
      <c r="CC37" s="7">
        <f t="shared" si="17"/>
        <v>0</v>
      </c>
      <c r="CD37">
        <v>1</v>
      </c>
      <c r="CE37" s="6">
        <f t="shared" si="18"/>
        <v>0.125</v>
      </c>
      <c r="CF37">
        <f t="shared" si="19"/>
        <v>0</v>
      </c>
      <c r="CG37">
        <v>2</v>
      </c>
      <c r="CH37">
        <f>Gameweek_13</f>
        <v>19</v>
      </c>
      <c r="CI37" s="6">
        <f t="shared" si="20"/>
        <v>-0.25</v>
      </c>
      <c r="CK37" s="25" t="s">
        <v>219</v>
      </c>
      <c r="CL37" t="s">
        <v>171</v>
      </c>
      <c r="CM37">
        <v>0</v>
      </c>
      <c r="CN37" s="7">
        <f t="shared" si="21"/>
        <v>0</v>
      </c>
      <c r="CO37">
        <v>0</v>
      </c>
      <c r="CP37" s="6">
        <f t="shared" si="22"/>
        <v>0</v>
      </c>
      <c r="CQ37">
        <f t="shared" si="23"/>
        <v>0</v>
      </c>
      <c r="CR37">
        <v>2</v>
      </c>
      <c r="CS37">
        <f>Gameweek_13</f>
        <v>19</v>
      </c>
      <c r="CT37" s="6">
        <f t="shared" si="24"/>
        <v>0</v>
      </c>
    </row>
    <row r="38" spans="12:98" x14ac:dyDescent="0.2">
      <c r="L38" s="25" t="s">
        <v>50</v>
      </c>
      <c r="N38">
        <v>0</v>
      </c>
      <c r="O38" s="7">
        <f t="shared" si="0"/>
        <v>0</v>
      </c>
      <c r="P38" s="8">
        <v>1</v>
      </c>
      <c r="Q38" s="6">
        <f t="shared" si="1"/>
        <v>0.125</v>
      </c>
      <c r="R38" s="3">
        <v>0</v>
      </c>
      <c r="S38">
        <v>3</v>
      </c>
      <c r="T38">
        <f>Get_Color</f>
        <v>19</v>
      </c>
      <c r="U38" s="6">
        <f t="shared" si="2"/>
        <v>-0.375</v>
      </c>
      <c r="V38" s="6"/>
      <c r="W38" s="25" t="s">
        <v>45</v>
      </c>
      <c r="X38" t="s">
        <v>150</v>
      </c>
      <c r="Y38">
        <v>0</v>
      </c>
      <c r="Z38" s="7">
        <f t="shared" si="31"/>
        <v>0</v>
      </c>
      <c r="AA38">
        <v>0</v>
      </c>
      <c r="AB38" s="6">
        <f t="shared" ref="AB38:AB62" si="33">AA38/8+Z38</f>
        <v>0</v>
      </c>
      <c r="AC38">
        <v>0</v>
      </c>
      <c r="AD38" s="8">
        <v>6</v>
      </c>
      <c r="AE38">
        <f>Gameweek_8</f>
        <v>19</v>
      </c>
      <c r="AF38" s="6">
        <f t="shared" ref="AF38:AF62" si="34">(AC38-AB38)*AD38</f>
        <v>0</v>
      </c>
      <c r="AH38" s="25" t="s">
        <v>55</v>
      </c>
      <c r="AI38" t="s">
        <v>148</v>
      </c>
      <c r="AJ38">
        <v>0</v>
      </c>
      <c r="AK38" s="7">
        <f t="shared" si="32"/>
        <v>0</v>
      </c>
      <c r="AL38">
        <v>1</v>
      </c>
      <c r="AM38" s="6">
        <f t="shared" ref="AM38:AM63" si="35">AL38/8+AK38</f>
        <v>0.125</v>
      </c>
      <c r="AN38">
        <v>0</v>
      </c>
      <c r="AO38">
        <v>2</v>
      </c>
      <c r="AP38">
        <f>Gameweek_9</f>
        <v>19</v>
      </c>
      <c r="AQ38" s="6">
        <f t="shared" ref="AQ38:AQ63" si="36">(AN38-AM38)*AO38</f>
        <v>-0.25</v>
      </c>
      <c r="AS38" s="25" t="s">
        <v>58</v>
      </c>
      <c r="AT38" t="s">
        <v>164</v>
      </c>
      <c r="AU38">
        <v>0</v>
      </c>
      <c r="AV38" s="7">
        <f t="shared" ref="AV38:AV65" si="37">(AU38/9)</f>
        <v>0</v>
      </c>
      <c r="AW38">
        <v>0</v>
      </c>
      <c r="AX38" s="6">
        <f t="shared" ref="AX38:AX65" si="38">AW38/8+AV38</f>
        <v>0</v>
      </c>
      <c r="AY38">
        <v>0</v>
      </c>
      <c r="AZ38">
        <v>13</v>
      </c>
      <c r="BA38">
        <f>Gameweek_10</f>
        <v>19</v>
      </c>
      <c r="BB38" s="6">
        <f t="shared" ref="BB38:BB65" si="39">(AY38-AX38)*AZ38</f>
        <v>0</v>
      </c>
      <c r="BD38" s="25" t="s">
        <v>2</v>
      </c>
      <c r="BE38" t="s">
        <v>153</v>
      </c>
      <c r="BF38">
        <v>0</v>
      </c>
      <c r="BG38" s="7">
        <f t="shared" si="11"/>
        <v>0</v>
      </c>
      <c r="BH38">
        <v>1</v>
      </c>
      <c r="BI38" s="6">
        <f t="shared" si="12"/>
        <v>0.125</v>
      </c>
      <c r="BJ38">
        <f t="shared" si="13"/>
        <v>1</v>
      </c>
      <c r="BK38">
        <v>1</v>
      </c>
      <c r="BL38">
        <f>Gameweek_11</f>
        <v>19</v>
      </c>
      <c r="BM38" s="6">
        <f t="shared" si="14"/>
        <v>0.875</v>
      </c>
      <c r="BO38" s="25" t="s">
        <v>2</v>
      </c>
      <c r="BP38" t="s">
        <v>153</v>
      </c>
      <c r="BQ38">
        <v>0</v>
      </c>
      <c r="BR38" s="7">
        <f t="shared" si="27"/>
        <v>0</v>
      </c>
      <c r="BS38">
        <v>1</v>
      </c>
      <c r="BT38" s="6">
        <f t="shared" si="15"/>
        <v>0.125</v>
      </c>
      <c r="BU38">
        <f t="shared" si="28"/>
        <v>0</v>
      </c>
      <c r="BV38">
        <v>5</v>
      </c>
      <c r="BW38">
        <f>Gameweek_12</f>
        <v>19</v>
      </c>
      <c r="BX38" s="6">
        <f t="shared" si="16"/>
        <v>-0.625</v>
      </c>
      <c r="BZ38" s="25" t="s">
        <v>170</v>
      </c>
      <c r="CA38" t="s">
        <v>171</v>
      </c>
      <c r="CB38">
        <v>0</v>
      </c>
      <c r="CC38" s="7">
        <f t="shared" ref="CC38:CC64" si="40">(CB38/9)</f>
        <v>0</v>
      </c>
      <c r="CD38">
        <v>1</v>
      </c>
      <c r="CE38" s="6">
        <f t="shared" ref="CE38:CE64" si="41">CD38/8+CC38</f>
        <v>0.125</v>
      </c>
      <c r="CF38">
        <f t="shared" ref="CF38:CF64" si="42">VLOOKUP(CH38,CF$83:CG$87,2)</f>
        <v>0</v>
      </c>
      <c r="CG38">
        <v>7</v>
      </c>
      <c r="CH38">
        <f>Gameweek_13</f>
        <v>19</v>
      </c>
      <c r="CI38" s="6">
        <f t="shared" ref="CI38:CI64" si="43">(CF38-CE38)*CG38</f>
        <v>-0.875</v>
      </c>
      <c r="CK38" s="25" t="s">
        <v>170</v>
      </c>
      <c r="CL38" t="s">
        <v>171</v>
      </c>
      <c r="CM38">
        <v>0</v>
      </c>
      <c r="CN38" s="7">
        <f t="shared" si="21"/>
        <v>0</v>
      </c>
      <c r="CO38">
        <v>0</v>
      </c>
      <c r="CP38" s="6">
        <f t="shared" si="22"/>
        <v>0</v>
      </c>
      <c r="CQ38">
        <f t="shared" si="23"/>
        <v>0</v>
      </c>
      <c r="CR38">
        <v>3</v>
      </c>
      <c r="CS38">
        <f>Gameweek_13</f>
        <v>19</v>
      </c>
      <c r="CT38" s="6">
        <f t="shared" si="24"/>
        <v>0</v>
      </c>
    </row>
    <row r="39" spans="12:98" x14ac:dyDescent="0.2">
      <c r="L39" s="25" t="s">
        <v>52</v>
      </c>
      <c r="N39">
        <v>0</v>
      </c>
      <c r="O39" s="7">
        <f t="shared" si="0"/>
        <v>0</v>
      </c>
      <c r="P39" s="8">
        <v>1</v>
      </c>
      <c r="Q39" s="6">
        <f t="shared" si="1"/>
        <v>0.125</v>
      </c>
      <c r="R39" s="3">
        <v>0</v>
      </c>
      <c r="S39">
        <v>1</v>
      </c>
      <c r="T39">
        <f>Get_Color</f>
        <v>19</v>
      </c>
      <c r="U39" s="6">
        <f t="shared" si="2"/>
        <v>-0.125</v>
      </c>
      <c r="V39" s="6"/>
      <c r="W39" s="2" t="s">
        <v>4</v>
      </c>
      <c r="X39" t="s">
        <v>149</v>
      </c>
      <c r="Y39">
        <v>0</v>
      </c>
      <c r="Z39" s="7">
        <f t="shared" si="31"/>
        <v>0</v>
      </c>
      <c r="AA39">
        <v>1</v>
      </c>
      <c r="AB39" s="6">
        <f t="shared" si="33"/>
        <v>0.125</v>
      </c>
      <c r="AC39">
        <v>1</v>
      </c>
      <c r="AD39" s="8">
        <v>0</v>
      </c>
      <c r="AE39">
        <f>Gameweek_8</f>
        <v>6</v>
      </c>
      <c r="AF39" s="6">
        <f t="shared" si="34"/>
        <v>0</v>
      </c>
      <c r="AH39" s="25" t="s">
        <v>173</v>
      </c>
      <c r="AI39" t="s">
        <v>158</v>
      </c>
      <c r="AJ39">
        <v>0</v>
      </c>
      <c r="AK39" s="7">
        <f t="shared" si="32"/>
        <v>0</v>
      </c>
      <c r="AL39">
        <v>1</v>
      </c>
      <c r="AM39" s="6">
        <f t="shared" si="35"/>
        <v>0.125</v>
      </c>
      <c r="AN39">
        <v>0</v>
      </c>
      <c r="AO39">
        <v>2</v>
      </c>
      <c r="AP39">
        <f>Gameweek_9</f>
        <v>19</v>
      </c>
      <c r="AQ39" s="6">
        <f t="shared" si="36"/>
        <v>-0.25</v>
      </c>
      <c r="AS39" s="25" t="s">
        <v>37</v>
      </c>
      <c r="AT39" t="s">
        <v>148</v>
      </c>
      <c r="AU39">
        <v>0</v>
      </c>
      <c r="AV39" s="7">
        <f t="shared" si="37"/>
        <v>0</v>
      </c>
      <c r="AW39">
        <v>1</v>
      </c>
      <c r="AX39" s="6">
        <f t="shared" si="38"/>
        <v>0.125</v>
      </c>
      <c r="AY39">
        <v>0</v>
      </c>
      <c r="AZ39">
        <v>5</v>
      </c>
      <c r="BA39">
        <f>Gameweek_10</f>
        <v>19</v>
      </c>
      <c r="BB39" s="6">
        <f t="shared" si="39"/>
        <v>-0.625</v>
      </c>
      <c r="BD39" s="25" t="s">
        <v>168</v>
      </c>
      <c r="BE39" t="s">
        <v>155</v>
      </c>
      <c r="BF39">
        <v>0</v>
      </c>
      <c r="BG39" s="7">
        <f t="shared" si="11"/>
        <v>0</v>
      </c>
      <c r="BH39">
        <v>0</v>
      </c>
      <c r="BI39" s="6">
        <f t="shared" si="12"/>
        <v>0</v>
      </c>
      <c r="BJ39">
        <f t="shared" si="13"/>
        <v>1</v>
      </c>
      <c r="BK39">
        <v>0</v>
      </c>
      <c r="BL39">
        <f>Gameweek_11</f>
        <v>19</v>
      </c>
      <c r="BM39" s="6">
        <f t="shared" si="14"/>
        <v>0</v>
      </c>
      <c r="BO39" s="25" t="s">
        <v>52</v>
      </c>
      <c r="BP39" t="s">
        <v>148</v>
      </c>
      <c r="BQ39">
        <v>0</v>
      </c>
      <c r="BR39" s="7">
        <f t="shared" ref="BR39:BR65" si="44">(BQ39/9)</f>
        <v>0</v>
      </c>
      <c r="BS39">
        <v>1</v>
      </c>
      <c r="BT39" s="6">
        <f t="shared" ref="BT39:BT63" si="45">BS39/8+BR39</f>
        <v>0.125</v>
      </c>
      <c r="BU39">
        <f t="shared" si="28"/>
        <v>0</v>
      </c>
      <c r="BV39">
        <v>2</v>
      </c>
      <c r="BW39">
        <f>Gameweek_12</f>
        <v>19</v>
      </c>
      <c r="BX39" s="6">
        <f t="shared" ref="BX39:BX63" si="46">(BU39-BT39)*BV39</f>
        <v>-0.25</v>
      </c>
      <c r="BZ39" s="25" t="s">
        <v>39</v>
      </c>
      <c r="CA39" t="s">
        <v>160</v>
      </c>
      <c r="CB39">
        <v>0</v>
      </c>
      <c r="CC39" s="7">
        <f t="shared" si="40"/>
        <v>0</v>
      </c>
      <c r="CD39">
        <v>2</v>
      </c>
      <c r="CE39" s="6">
        <f t="shared" si="41"/>
        <v>0.25</v>
      </c>
      <c r="CF39">
        <f t="shared" si="42"/>
        <v>0</v>
      </c>
      <c r="CG39">
        <v>6</v>
      </c>
      <c r="CH39">
        <f>Gameweek_13</f>
        <v>19</v>
      </c>
      <c r="CI39" s="6">
        <f t="shared" si="43"/>
        <v>-1.5</v>
      </c>
      <c r="CK39" s="25" t="s">
        <v>39</v>
      </c>
      <c r="CL39" t="s">
        <v>160</v>
      </c>
      <c r="CM39">
        <v>0</v>
      </c>
      <c r="CN39" s="7">
        <f t="shared" si="21"/>
        <v>0</v>
      </c>
      <c r="CO39">
        <v>1</v>
      </c>
      <c r="CP39" s="6">
        <f t="shared" si="22"/>
        <v>0.125</v>
      </c>
      <c r="CQ39">
        <f t="shared" si="23"/>
        <v>0</v>
      </c>
      <c r="CR39">
        <v>0</v>
      </c>
      <c r="CS39">
        <f>Gameweek_13</f>
        <v>19</v>
      </c>
      <c r="CT39" s="6">
        <f t="shared" si="24"/>
        <v>0</v>
      </c>
    </row>
    <row r="40" spans="12:98" x14ac:dyDescent="0.2">
      <c r="L40" s="25" t="s">
        <v>51</v>
      </c>
      <c r="N40">
        <v>0</v>
      </c>
      <c r="O40" s="7">
        <f t="shared" si="0"/>
        <v>0</v>
      </c>
      <c r="P40" s="8">
        <v>1</v>
      </c>
      <c r="Q40" s="6">
        <f t="shared" si="1"/>
        <v>0.125</v>
      </c>
      <c r="R40" s="3">
        <v>0</v>
      </c>
      <c r="S40">
        <v>3</v>
      </c>
      <c r="T40">
        <f>Get_Color</f>
        <v>19</v>
      </c>
      <c r="U40" s="6">
        <f t="shared" si="2"/>
        <v>-0.375</v>
      </c>
      <c r="V40" s="6"/>
      <c r="W40" s="4" t="s">
        <v>12</v>
      </c>
      <c r="X40" t="s">
        <v>151</v>
      </c>
      <c r="Y40">
        <v>0</v>
      </c>
      <c r="Z40" s="7">
        <f t="shared" si="31"/>
        <v>0</v>
      </c>
      <c r="AA40">
        <v>4</v>
      </c>
      <c r="AB40" s="6">
        <f t="shared" si="33"/>
        <v>0.5</v>
      </c>
      <c r="AC40">
        <v>0</v>
      </c>
      <c r="AD40" s="8">
        <v>0</v>
      </c>
      <c r="AE40">
        <f>Gameweek_8</f>
        <v>3</v>
      </c>
      <c r="AF40" s="6">
        <f t="shared" si="34"/>
        <v>0</v>
      </c>
      <c r="AH40" s="25" t="s">
        <v>43</v>
      </c>
      <c r="AI40" t="s">
        <v>158</v>
      </c>
      <c r="AJ40">
        <v>0</v>
      </c>
      <c r="AK40" s="7">
        <f t="shared" si="32"/>
        <v>0</v>
      </c>
      <c r="AL40">
        <v>0</v>
      </c>
      <c r="AM40" s="6">
        <f t="shared" si="35"/>
        <v>0</v>
      </c>
      <c r="AN40">
        <v>0</v>
      </c>
      <c r="AO40">
        <v>2</v>
      </c>
      <c r="AP40">
        <f>Gameweek_9</f>
        <v>19</v>
      </c>
      <c r="AQ40" s="6">
        <f t="shared" si="36"/>
        <v>0</v>
      </c>
      <c r="AS40" s="25" t="s">
        <v>39</v>
      </c>
      <c r="AT40" t="s">
        <v>160</v>
      </c>
      <c r="AU40">
        <v>0</v>
      </c>
      <c r="AV40" s="7">
        <f t="shared" si="37"/>
        <v>0</v>
      </c>
      <c r="AW40">
        <v>1</v>
      </c>
      <c r="AX40" s="6">
        <f t="shared" si="38"/>
        <v>0.125</v>
      </c>
      <c r="AY40">
        <v>0</v>
      </c>
      <c r="AZ40">
        <v>6</v>
      </c>
      <c r="BA40">
        <f>Gameweek_10</f>
        <v>19</v>
      </c>
      <c r="BB40" s="6">
        <f t="shared" si="39"/>
        <v>-0.75</v>
      </c>
      <c r="BD40" s="25" t="s">
        <v>52</v>
      </c>
      <c r="BE40" t="s">
        <v>148</v>
      </c>
      <c r="BF40">
        <v>0</v>
      </c>
      <c r="BG40" s="7">
        <f t="shared" si="11"/>
        <v>0</v>
      </c>
      <c r="BH40">
        <v>1</v>
      </c>
      <c r="BI40" s="6">
        <f t="shared" si="12"/>
        <v>0.125</v>
      </c>
      <c r="BJ40">
        <f t="shared" si="13"/>
        <v>1</v>
      </c>
      <c r="BK40">
        <v>1</v>
      </c>
      <c r="BL40">
        <f>Gameweek_11</f>
        <v>19</v>
      </c>
      <c r="BM40" s="6">
        <f t="shared" si="14"/>
        <v>0.875</v>
      </c>
      <c r="BO40" s="25" t="s">
        <v>51</v>
      </c>
      <c r="BP40" t="s">
        <v>162</v>
      </c>
      <c r="BQ40">
        <v>0</v>
      </c>
      <c r="BR40" s="7">
        <f t="shared" si="44"/>
        <v>0</v>
      </c>
      <c r="BS40">
        <v>1</v>
      </c>
      <c r="BT40" s="6">
        <f t="shared" si="45"/>
        <v>0.125</v>
      </c>
      <c r="BU40">
        <f t="shared" si="28"/>
        <v>0</v>
      </c>
      <c r="BV40">
        <v>6</v>
      </c>
      <c r="BW40">
        <f>Gameweek_12</f>
        <v>19</v>
      </c>
      <c r="BX40" s="6">
        <f t="shared" si="46"/>
        <v>-0.75</v>
      </c>
      <c r="BZ40" s="25" t="s">
        <v>169</v>
      </c>
      <c r="CA40" t="s">
        <v>160</v>
      </c>
      <c r="CB40">
        <v>0</v>
      </c>
      <c r="CC40" s="7">
        <f t="shared" si="40"/>
        <v>0</v>
      </c>
      <c r="CD40">
        <v>1</v>
      </c>
      <c r="CE40" s="6">
        <f t="shared" si="41"/>
        <v>0.125</v>
      </c>
      <c r="CF40">
        <f t="shared" si="42"/>
        <v>0</v>
      </c>
      <c r="CG40">
        <v>1</v>
      </c>
      <c r="CH40">
        <f>Gameweek_13</f>
        <v>19</v>
      </c>
      <c r="CI40" s="6">
        <f t="shared" si="43"/>
        <v>-0.125</v>
      </c>
      <c r="CK40" s="25" t="s">
        <v>169</v>
      </c>
      <c r="CL40" t="s">
        <v>160</v>
      </c>
      <c r="CM40">
        <v>0</v>
      </c>
      <c r="CN40" s="7">
        <f t="shared" si="21"/>
        <v>0</v>
      </c>
      <c r="CO40">
        <v>1</v>
      </c>
      <c r="CP40" s="6">
        <f t="shared" si="22"/>
        <v>0.125</v>
      </c>
      <c r="CQ40">
        <f t="shared" si="23"/>
        <v>0</v>
      </c>
      <c r="CR40">
        <v>0</v>
      </c>
      <c r="CS40">
        <f>Gameweek_13</f>
        <v>19</v>
      </c>
      <c r="CT40" s="6">
        <f t="shared" si="24"/>
        <v>0</v>
      </c>
    </row>
    <row r="41" spans="12:98" x14ac:dyDescent="0.2">
      <c r="L41" s="25" t="s">
        <v>53</v>
      </c>
      <c r="N41">
        <v>0</v>
      </c>
      <c r="O41" s="7">
        <f t="shared" si="0"/>
        <v>0</v>
      </c>
      <c r="P41" s="8">
        <v>1</v>
      </c>
      <c r="Q41" s="6">
        <f t="shared" si="1"/>
        <v>0.125</v>
      </c>
      <c r="R41" s="3">
        <v>0</v>
      </c>
      <c r="S41">
        <v>2</v>
      </c>
      <c r="T41">
        <f>Get_Color</f>
        <v>19</v>
      </c>
      <c r="U41" s="6">
        <f t="shared" si="2"/>
        <v>-0.25</v>
      </c>
      <c r="V41" s="6"/>
      <c r="W41" s="4" t="s">
        <v>15</v>
      </c>
      <c r="X41" t="s">
        <v>158</v>
      </c>
      <c r="Y41">
        <v>0</v>
      </c>
      <c r="Z41" s="7">
        <f t="shared" si="31"/>
        <v>0</v>
      </c>
      <c r="AA41">
        <v>0</v>
      </c>
      <c r="AB41" s="6">
        <f t="shared" si="33"/>
        <v>0</v>
      </c>
      <c r="AC41">
        <v>0</v>
      </c>
      <c r="AD41" s="8">
        <v>0</v>
      </c>
      <c r="AE41">
        <f>Gameweek_8</f>
        <v>3</v>
      </c>
      <c r="AF41" s="6">
        <f t="shared" si="34"/>
        <v>0</v>
      </c>
      <c r="AH41" s="25" t="s">
        <v>64</v>
      </c>
      <c r="AI41" t="s">
        <v>163</v>
      </c>
      <c r="AJ41">
        <v>0</v>
      </c>
      <c r="AK41" s="7">
        <f t="shared" si="32"/>
        <v>0</v>
      </c>
      <c r="AL41">
        <v>1</v>
      </c>
      <c r="AM41" s="6">
        <f t="shared" si="35"/>
        <v>0.125</v>
      </c>
      <c r="AN41">
        <v>0</v>
      </c>
      <c r="AO41">
        <v>2</v>
      </c>
      <c r="AP41">
        <f>Gameweek_9</f>
        <v>19</v>
      </c>
      <c r="AQ41" s="6">
        <f t="shared" si="36"/>
        <v>-0.25</v>
      </c>
      <c r="AS41" s="25" t="s">
        <v>139</v>
      </c>
      <c r="AT41" t="s">
        <v>152</v>
      </c>
      <c r="AU41">
        <v>0</v>
      </c>
      <c r="AV41" s="7">
        <f t="shared" si="37"/>
        <v>0</v>
      </c>
      <c r="AX41" s="6">
        <f t="shared" si="38"/>
        <v>0</v>
      </c>
      <c r="AY41">
        <v>0</v>
      </c>
      <c r="AZ41">
        <v>0</v>
      </c>
      <c r="BA41">
        <f>Gameweek_10</f>
        <v>19</v>
      </c>
      <c r="BB41" s="6">
        <f t="shared" si="39"/>
        <v>0</v>
      </c>
      <c r="BD41" s="25" t="s">
        <v>51</v>
      </c>
      <c r="BE41" t="s">
        <v>162</v>
      </c>
      <c r="BF41">
        <v>0</v>
      </c>
      <c r="BG41" s="7">
        <f t="shared" si="11"/>
        <v>0</v>
      </c>
      <c r="BH41">
        <v>2</v>
      </c>
      <c r="BI41" s="6">
        <f t="shared" si="12"/>
        <v>0.25</v>
      </c>
      <c r="BJ41">
        <f t="shared" si="13"/>
        <v>1</v>
      </c>
      <c r="BK41">
        <v>2</v>
      </c>
      <c r="BL41">
        <f>Gameweek_11</f>
        <v>19</v>
      </c>
      <c r="BM41" s="6">
        <f t="shared" si="14"/>
        <v>1.5</v>
      </c>
      <c r="BO41" s="25" t="s">
        <v>57</v>
      </c>
      <c r="BP41" t="s">
        <v>155</v>
      </c>
      <c r="BQ41">
        <v>0</v>
      </c>
      <c r="BR41" s="7">
        <f t="shared" si="44"/>
        <v>0</v>
      </c>
      <c r="BS41">
        <v>0</v>
      </c>
      <c r="BT41" s="6">
        <f t="shared" si="45"/>
        <v>0</v>
      </c>
      <c r="BU41">
        <f t="shared" si="28"/>
        <v>0</v>
      </c>
      <c r="BV41">
        <v>0</v>
      </c>
      <c r="BW41">
        <f>Gameweek_12</f>
        <v>19</v>
      </c>
      <c r="BX41" s="6">
        <f t="shared" si="46"/>
        <v>0</v>
      </c>
      <c r="BZ41" s="25" t="s">
        <v>47</v>
      </c>
      <c r="CA41" t="s">
        <v>160</v>
      </c>
      <c r="CB41">
        <v>0</v>
      </c>
      <c r="CC41" s="7">
        <f t="shared" si="40"/>
        <v>0</v>
      </c>
      <c r="CD41">
        <v>2</v>
      </c>
      <c r="CE41" s="6">
        <f t="shared" si="41"/>
        <v>0.25</v>
      </c>
      <c r="CF41">
        <f t="shared" si="42"/>
        <v>0</v>
      </c>
      <c r="CG41">
        <v>7</v>
      </c>
      <c r="CH41">
        <f>Gameweek_13</f>
        <v>19</v>
      </c>
      <c r="CI41" s="6">
        <f t="shared" si="43"/>
        <v>-1.75</v>
      </c>
      <c r="CK41" s="25" t="s">
        <v>47</v>
      </c>
      <c r="CL41" t="s">
        <v>160</v>
      </c>
      <c r="CM41">
        <v>0</v>
      </c>
      <c r="CN41" s="7">
        <f t="shared" si="21"/>
        <v>0</v>
      </c>
      <c r="CO41">
        <v>2</v>
      </c>
      <c r="CP41" s="6">
        <f t="shared" si="22"/>
        <v>0.25</v>
      </c>
      <c r="CQ41">
        <f t="shared" si="23"/>
        <v>0</v>
      </c>
      <c r="CR41">
        <v>0</v>
      </c>
      <c r="CS41">
        <f>Gameweek_13</f>
        <v>19</v>
      </c>
      <c r="CT41" s="6">
        <f t="shared" si="24"/>
        <v>0</v>
      </c>
    </row>
    <row r="42" spans="12:98" x14ac:dyDescent="0.2">
      <c r="L42" s="25" t="s">
        <v>54</v>
      </c>
      <c r="N42">
        <v>0</v>
      </c>
      <c r="O42" s="7">
        <f t="shared" si="0"/>
        <v>0</v>
      </c>
      <c r="P42" s="8">
        <v>1</v>
      </c>
      <c r="Q42" s="6">
        <f t="shared" si="1"/>
        <v>0.125</v>
      </c>
      <c r="R42" s="3">
        <v>0</v>
      </c>
      <c r="S42">
        <v>0</v>
      </c>
      <c r="T42">
        <f>Get_Color</f>
        <v>19</v>
      </c>
      <c r="U42" s="6">
        <f t="shared" si="2"/>
        <v>0</v>
      </c>
      <c r="V42" s="6"/>
      <c r="W42" s="4" t="s">
        <v>27</v>
      </c>
      <c r="X42" t="s">
        <v>151</v>
      </c>
      <c r="Y42">
        <v>0</v>
      </c>
      <c r="Z42" s="7">
        <f t="shared" si="31"/>
        <v>0</v>
      </c>
      <c r="AA42">
        <v>3</v>
      </c>
      <c r="AB42" s="6">
        <f t="shared" si="33"/>
        <v>0.375</v>
      </c>
      <c r="AC42">
        <v>0</v>
      </c>
      <c r="AD42" s="8">
        <v>0</v>
      </c>
      <c r="AE42">
        <f>Gameweek_8</f>
        <v>3</v>
      </c>
      <c r="AF42" s="6">
        <f t="shared" si="34"/>
        <v>0</v>
      </c>
      <c r="AH42" s="25" t="s">
        <v>138</v>
      </c>
      <c r="AI42" t="s">
        <v>157</v>
      </c>
      <c r="AJ42">
        <v>0</v>
      </c>
      <c r="AK42" s="7">
        <f t="shared" si="32"/>
        <v>0</v>
      </c>
      <c r="AL42">
        <v>1</v>
      </c>
      <c r="AM42" s="6">
        <f t="shared" si="35"/>
        <v>0.125</v>
      </c>
      <c r="AN42">
        <v>0</v>
      </c>
      <c r="AO42">
        <v>2</v>
      </c>
      <c r="AP42">
        <f>Gameweek_9</f>
        <v>19</v>
      </c>
      <c r="AQ42" s="6">
        <f t="shared" si="36"/>
        <v>-0.25</v>
      </c>
      <c r="AS42" s="25" t="s">
        <v>55</v>
      </c>
      <c r="AT42" t="s">
        <v>148</v>
      </c>
      <c r="AU42">
        <v>0</v>
      </c>
      <c r="AV42" s="7">
        <f t="shared" si="37"/>
        <v>0</v>
      </c>
      <c r="AX42" s="6">
        <f t="shared" si="38"/>
        <v>0</v>
      </c>
      <c r="AY42">
        <v>0</v>
      </c>
      <c r="AZ42">
        <v>2</v>
      </c>
      <c r="BA42">
        <f>Gameweek_10</f>
        <v>19</v>
      </c>
      <c r="BB42" s="6">
        <f t="shared" si="39"/>
        <v>0</v>
      </c>
      <c r="BD42" s="25" t="s">
        <v>57</v>
      </c>
      <c r="BE42" t="s">
        <v>155</v>
      </c>
      <c r="BF42">
        <v>0</v>
      </c>
      <c r="BG42" s="7">
        <f t="shared" si="11"/>
        <v>0</v>
      </c>
      <c r="BH42">
        <v>1</v>
      </c>
      <c r="BI42" s="6">
        <f t="shared" si="12"/>
        <v>0.125</v>
      </c>
      <c r="BJ42">
        <f t="shared" si="13"/>
        <v>1</v>
      </c>
      <c r="BK42">
        <v>2</v>
      </c>
      <c r="BL42">
        <f>Gameweek_11</f>
        <v>19</v>
      </c>
      <c r="BM42" s="6">
        <f t="shared" si="14"/>
        <v>1.75</v>
      </c>
      <c r="BO42" s="25" t="s">
        <v>127</v>
      </c>
      <c r="BP42" t="s">
        <v>155</v>
      </c>
      <c r="BQ42">
        <v>0</v>
      </c>
      <c r="BR42" s="7">
        <f t="shared" si="44"/>
        <v>0</v>
      </c>
      <c r="BS42">
        <v>2</v>
      </c>
      <c r="BT42" s="6">
        <f t="shared" si="45"/>
        <v>0.25</v>
      </c>
      <c r="BU42">
        <f t="shared" si="28"/>
        <v>0</v>
      </c>
      <c r="BV42">
        <v>3</v>
      </c>
      <c r="BW42">
        <f>Gameweek_12</f>
        <v>19</v>
      </c>
      <c r="BX42" s="6">
        <f t="shared" si="46"/>
        <v>-0.75</v>
      </c>
      <c r="BZ42" s="25" t="s">
        <v>51</v>
      </c>
      <c r="CA42" t="s">
        <v>162</v>
      </c>
      <c r="CB42">
        <v>0</v>
      </c>
      <c r="CC42" s="7">
        <f t="shared" si="40"/>
        <v>0</v>
      </c>
      <c r="CD42">
        <v>1</v>
      </c>
      <c r="CE42" s="6">
        <f t="shared" si="41"/>
        <v>0.125</v>
      </c>
      <c r="CF42">
        <f t="shared" si="42"/>
        <v>0</v>
      </c>
      <c r="CG42">
        <v>2</v>
      </c>
      <c r="CH42">
        <f>Gameweek_13</f>
        <v>19</v>
      </c>
      <c r="CI42" s="6">
        <f t="shared" si="43"/>
        <v>-0.25</v>
      </c>
      <c r="CK42" s="25" t="s">
        <v>51</v>
      </c>
      <c r="CL42" t="s">
        <v>162</v>
      </c>
      <c r="CM42">
        <v>0</v>
      </c>
      <c r="CN42" s="7">
        <f t="shared" si="21"/>
        <v>0</v>
      </c>
      <c r="CO42">
        <v>1</v>
      </c>
      <c r="CP42" s="6">
        <f t="shared" si="22"/>
        <v>0.125</v>
      </c>
      <c r="CQ42">
        <f t="shared" si="23"/>
        <v>0</v>
      </c>
      <c r="CR42">
        <v>0</v>
      </c>
      <c r="CS42">
        <f>Gameweek_13</f>
        <v>19</v>
      </c>
      <c r="CT42" s="6">
        <f t="shared" si="24"/>
        <v>0</v>
      </c>
    </row>
    <row r="43" spans="12:98" x14ac:dyDescent="0.2">
      <c r="L43" s="25" t="s">
        <v>55</v>
      </c>
      <c r="N43">
        <v>0</v>
      </c>
      <c r="O43" s="7">
        <f t="shared" si="0"/>
        <v>0</v>
      </c>
      <c r="P43" s="8">
        <v>1</v>
      </c>
      <c r="Q43" s="6">
        <f t="shared" si="1"/>
        <v>0.125</v>
      </c>
      <c r="R43" s="3">
        <v>0</v>
      </c>
      <c r="S43">
        <v>8</v>
      </c>
      <c r="T43">
        <f>Get_Color</f>
        <v>19</v>
      </c>
      <c r="U43" s="6">
        <f t="shared" si="2"/>
        <v>-1</v>
      </c>
      <c r="V43" s="6"/>
      <c r="W43" s="4" t="s">
        <v>32</v>
      </c>
      <c r="X43" t="s">
        <v>155</v>
      </c>
      <c r="Y43">
        <v>0</v>
      </c>
      <c r="Z43" s="7">
        <f t="shared" si="31"/>
        <v>0</v>
      </c>
      <c r="AA43">
        <v>0</v>
      </c>
      <c r="AB43" s="6">
        <f t="shared" si="33"/>
        <v>0</v>
      </c>
      <c r="AC43">
        <v>0</v>
      </c>
      <c r="AD43" s="8">
        <v>0</v>
      </c>
      <c r="AE43">
        <f>Gameweek_8</f>
        <v>3</v>
      </c>
      <c r="AF43" s="6">
        <f t="shared" si="34"/>
        <v>0</v>
      </c>
      <c r="AH43" s="25" t="s">
        <v>35</v>
      </c>
      <c r="AI43" t="s">
        <v>154</v>
      </c>
      <c r="AJ43">
        <v>0</v>
      </c>
      <c r="AK43" s="7">
        <f t="shared" si="32"/>
        <v>0</v>
      </c>
      <c r="AL43">
        <v>2</v>
      </c>
      <c r="AM43" s="6">
        <f t="shared" si="35"/>
        <v>0.25</v>
      </c>
      <c r="AN43">
        <v>0</v>
      </c>
      <c r="AO43">
        <v>2</v>
      </c>
      <c r="AP43">
        <f>Gameweek_9</f>
        <v>19</v>
      </c>
      <c r="AQ43" s="6">
        <f t="shared" si="36"/>
        <v>-0.5</v>
      </c>
      <c r="AS43" s="25" t="s">
        <v>173</v>
      </c>
      <c r="AT43" t="s">
        <v>158</v>
      </c>
      <c r="AU43">
        <v>0</v>
      </c>
      <c r="AV43" s="7">
        <f t="shared" si="37"/>
        <v>0</v>
      </c>
      <c r="AW43">
        <v>1</v>
      </c>
      <c r="AX43" s="6">
        <f t="shared" si="38"/>
        <v>0.125</v>
      </c>
      <c r="AY43">
        <v>0</v>
      </c>
      <c r="AZ43">
        <v>2</v>
      </c>
      <c r="BA43">
        <f>Gameweek_10</f>
        <v>19</v>
      </c>
      <c r="BB43" s="6">
        <f t="shared" si="39"/>
        <v>-0.25</v>
      </c>
      <c r="BD43" s="25" t="s">
        <v>127</v>
      </c>
      <c r="BE43" t="s">
        <v>155</v>
      </c>
      <c r="BF43">
        <v>0</v>
      </c>
      <c r="BG43" s="7">
        <f t="shared" si="11"/>
        <v>0</v>
      </c>
      <c r="BH43">
        <v>2</v>
      </c>
      <c r="BI43" s="6">
        <f t="shared" si="12"/>
        <v>0.25</v>
      </c>
      <c r="BJ43">
        <f t="shared" si="13"/>
        <v>1</v>
      </c>
      <c r="BK43">
        <v>8</v>
      </c>
      <c r="BL43">
        <f>Gameweek_11</f>
        <v>19</v>
      </c>
      <c r="BM43" s="6">
        <f t="shared" si="14"/>
        <v>6</v>
      </c>
      <c r="BO43" s="25" t="s">
        <v>128</v>
      </c>
      <c r="BP43" t="s">
        <v>155</v>
      </c>
      <c r="BQ43">
        <v>0</v>
      </c>
      <c r="BR43" s="7">
        <f t="shared" si="44"/>
        <v>0</v>
      </c>
      <c r="BS43">
        <v>2</v>
      </c>
      <c r="BT43" s="6">
        <f t="shared" si="45"/>
        <v>0.25</v>
      </c>
      <c r="BU43">
        <f t="shared" si="28"/>
        <v>0</v>
      </c>
      <c r="BV43">
        <v>3</v>
      </c>
      <c r="BW43">
        <f>Gameweek_12</f>
        <v>19</v>
      </c>
      <c r="BX43" s="6">
        <f t="shared" si="46"/>
        <v>-0.75</v>
      </c>
      <c r="BZ43" s="4" t="s">
        <v>11</v>
      </c>
      <c r="CA43" t="s">
        <v>156</v>
      </c>
      <c r="CB43">
        <v>0</v>
      </c>
      <c r="CC43" s="7">
        <f t="shared" si="40"/>
        <v>0</v>
      </c>
      <c r="CD43">
        <v>0</v>
      </c>
      <c r="CE43" s="6">
        <f t="shared" si="41"/>
        <v>0</v>
      </c>
      <c r="CF43">
        <f t="shared" si="42"/>
        <v>0</v>
      </c>
      <c r="CG43">
        <v>0</v>
      </c>
      <c r="CH43">
        <f>Gameweek_13</f>
        <v>3</v>
      </c>
      <c r="CI43" s="6">
        <f t="shared" si="43"/>
        <v>0</v>
      </c>
      <c r="CK43" s="4" t="s">
        <v>11</v>
      </c>
      <c r="CL43" t="s">
        <v>156</v>
      </c>
      <c r="CM43">
        <v>0</v>
      </c>
      <c r="CN43" s="7">
        <f t="shared" si="21"/>
        <v>0</v>
      </c>
      <c r="CO43">
        <v>0</v>
      </c>
      <c r="CP43" s="6">
        <f t="shared" si="22"/>
        <v>0</v>
      </c>
      <c r="CQ43">
        <f t="shared" si="23"/>
        <v>0</v>
      </c>
      <c r="CR43">
        <v>0</v>
      </c>
      <c r="CS43">
        <f>Gameweek_13</f>
        <v>3</v>
      </c>
      <c r="CT43" s="6">
        <f t="shared" si="24"/>
        <v>0</v>
      </c>
    </row>
    <row r="44" spans="12:98" x14ac:dyDescent="0.2">
      <c r="L44" s="25" t="s">
        <v>56</v>
      </c>
      <c r="N44">
        <v>0</v>
      </c>
      <c r="O44" s="7">
        <f t="shared" si="0"/>
        <v>0</v>
      </c>
      <c r="P44" s="8">
        <v>1</v>
      </c>
      <c r="Q44" s="6">
        <f t="shared" si="1"/>
        <v>0.125</v>
      </c>
      <c r="R44" s="3">
        <v>0</v>
      </c>
      <c r="S44">
        <v>5</v>
      </c>
      <c r="T44">
        <f>Get_Color</f>
        <v>19</v>
      </c>
      <c r="U44" s="6">
        <f t="shared" si="2"/>
        <v>-0.625</v>
      </c>
      <c r="V44" s="6"/>
      <c r="W44" s="25" t="s">
        <v>48</v>
      </c>
      <c r="X44" t="s">
        <v>155</v>
      </c>
      <c r="Y44">
        <v>0</v>
      </c>
      <c r="Z44" s="7">
        <f t="shared" si="31"/>
        <v>0</v>
      </c>
      <c r="AA44">
        <v>2</v>
      </c>
      <c r="AB44" s="6">
        <f t="shared" si="33"/>
        <v>0.25</v>
      </c>
      <c r="AC44">
        <v>0</v>
      </c>
      <c r="AD44" s="8">
        <v>0</v>
      </c>
      <c r="AE44">
        <f>Gameweek_8</f>
        <v>19</v>
      </c>
      <c r="AF44" s="6">
        <f t="shared" si="34"/>
        <v>0</v>
      </c>
      <c r="AH44" s="25" t="s">
        <v>58</v>
      </c>
      <c r="AI44" t="s">
        <v>164</v>
      </c>
      <c r="AJ44">
        <v>0</v>
      </c>
      <c r="AK44" s="7">
        <f t="shared" si="32"/>
        <v>0</v>
      </c>
      <c r="AL44">
        <v>1</v>
      </c>
      <c r="AM44" s="6">
        <f t="shared" si="35"/>
        <v>0.125</v>
      </c>
      <c r="AN44">
        <v>0</v>
      </c>
      <c r="AO44">
        <v>2</v>
      </c>
      <c r="AP44">
        <f>Gameweek_9</f>
        <v>19</v>
      </c>
      <c r="AQ44" s="6">
        <f t="shared" si="36"/>
        <v>-0.25</v>
      </c>
      <c r="AS44" s="25" t="s">
        <v>56</v>
      </c>
      <c r="AT44" t="s">
        <v>157</v>
      </c>
      <c r="AU44">
        <v>0</v>
      </c>
      <c r="AV44" s="7">
        <f t="shared" si="37"/>
        <v>0</v>
      </c>
      <c r="AW44">
        <v>0</v>
      </c>
      <c r="AX44" s="6">
        <f t="shared" si="38"/>
        <v>0</v>
      </c>
      <c r="AY44">
        <v>0</v>
      </c>
      <c r="AZ44">
        <v>2</v>
      </c>
      <c r="BA44">
        <f>Gameweek_10</f>
        <v>19</v>
      </c>
      <c r="BB44" s="6">
        <f t="shared" si="39"/>
        <v>0</v>
      </c>
      <c r="BD44" s="25" t="s">
        <v>128</v>
      </c>
      <c r="BE44" t="s">
        <v>155</v>
      </c>
      <c r="BF44">
        <v>0</v>
      </c>
      <c r="BG44" s="7">
        <f t="shared" si="11"/>
        <v>0</v>
      </c>
      <c r="BH44">
        <v>2</v>
      </c>
      <c r="BI44" s="6">
        <f t="shared" si="12"/>
        <v>0.25</v>
      </c>
      <c r="BJ44">
        <f t="shared" si="13"/>
        <v>1</v>
      </c>
      <c r="BK44">
        <v>1</v>
      </c>
      <c r="BL44">
        <f>Gameweek_11</f>
        <v>19</v>
      </c>
      <c r="BM44" s="6">
        <f t="shared" si="14"/>
        <v>0.75</v>
      </c>
      <c r="BO44" s="25" t="s">
        <v>37</v>
      </c>
      <c r="BP44" t="s">
        <v>148</v>
      </c>
      <c r="BQ44">
        <v>0</v>
      </c>
      <c r="BR44" s="7">
        <f t="shared" si="44"/>
        <v>0</v>
      </c>
      <c r="BS44">
        <v>1</v>
      </c>
      <c r="BT44" s="6">
        <f t="shared" si="45"/>
        <v>0.125</v>
      </c>
      <c r="BU44">
        <f t="shared" si="28"/>
        <v>0</v>
      </c>
      <c r="BV44">
        <v>2</v>
      </c>
      <c r="BW44">
        <f>Gameweek_12</f>
        <v>19</v>
      </c>
      <c r="BX44" s="6">
        <f t="shared" si="46"/>
        <v>-0.25</v>
      </c>
      <c r="BZ44" s="25" t="s">
        <v>137</v>
      </c>
      <c r="CA44" t="s">
        <v>156</v>
      </c>
      <c r="CB44">
        <v>0</v>
      </c>
      <c r="CC44" s="7">
        <f t="shared" si="40"/>
        <v>0</v>
      </c>
      <c r="CD44">
        <v>0</v>
      </c>
      <c r="CE44" s="6">
        <f t="shared" si="41"/>
        <v>0</v>
      </c>
      <c r="CF44">
        <f t="shared" si="42"/>
        <v>0</v>
      </c>
      <c r="CG44">
        <v>0</v>
      </c>
      <c r="CH44">
        <f>Gameweek_13</f>
        <v>19</v>
      </c>
      <c r="CI44" s="6">
        <f t="shared" si="43"/>
        <v>0</v>
      </c>
      <c r="CK44" s="25" t="s">
        <v>137</v>
      </c>
      <c r="CL44" t="s">
        <v>156</v>
      </c>
      <c r="CM44">
        <v>0</v>
      </c>
      <c r="CN44" s="7">
        <f t="shared" si="21"/>
        <v>0</v>
      </c>
      <c r="CO44">
        <v>0</v>
      </c>
      <c r="CP44" s="6">
        <f t="shared" si="22"/>
        <v>0</v>
      </c>
      <c r="CQ44">
        <f t="shared" si="23"/>
        <v>0</v>
      </c>
      <c r="CR44">
        <v>0</v>
      </c>
      <c r="CS44">
        <f>Gameweek_13</f>
        <v>19</v>
      </c>
      <c r="CT44" s="6">
        <f t="shared" si="24"/>
        <v>0</v>
      </c>
    </row>
    <row r="45" spans="12:98" x14ac:dyDescent="0.2">
      <c r="L45" s="25" t="s">
        <v>57</v>
      </c>
      <c r="N45">
        <v>0</v>
      </c>
      <c r="O45" s="7">
        <f t="shared" si="0"/>
        <v>0</v>
      </c>
      <c r="P45" s="8">
        <v>1</v>
      </c>
      <c r="Q45" s="6">
        <f t="shared" si="1"/>
        <v>0.125</v>
      </c>
      <c r="R45" s="3">
        <v>0</v>
      </c>
      <c r="S45">
        <v>0</v>
      </c>
      <c r="T45">
        <f>Get_Color</f>
        <v>19</v>
      </c>
      <c r="U45" s="6">
        <f t="shared" si="2"/>
        <v>0</v>
      </c>
      <c r="V45" s="6"/>
      <c r="W45" s="25" t="s">
        <v>141</v>
      </c>
      <c r="X45" t="s">
        <v>156</v>
      </c>
      <c r="Y45">
        <v>0</v>
      </c>
      <c r="Z45" s="7">
        <f t="shared" si="31"/>
        <v>0</v>
      </c>
      <c r="AA45">
        <v>0</v>
      </c>
      <c r="AB45" s="6">
        <f t="shared" si="33"/>
        <v>0</v>
      </c>
      <c r="AC45">
        <v>0</v>
      </c>
      <c r="AD45" s="8">
        <v>0</v>
      </c>
      <c r="AE45">
        <f>Gameweek_8</f>
        <v>19</v>
      </c>
      <c r="AF45" s="6">
        <f t="shared" si="34"/>
        <v>0</v>
      </c>
      <c r="AH45" s="25" t="s">
        <v>62</v>
      </c>
      <c r="AI45" t="s">
        <v>157</v>
      </c>
      <c r="AJ45">
        <v>0</v>
      </c>
      <c r="AK45" s="7">
        <f t="shared" si="32"/>
        <v>0</v>
      </c>
      <c r="AL45">
        <v>0</v>
      </c>
      <c r="AM45" s="6">
        <f t="shared" si="35"/>
        <v>0</v>
      </c>
      <c r="AN45">
        <v>0</v>
      </c>
      <c r="AO45">
        <v>2</v>
      </c>
      <c r="AP45">
        <f>Gameweek_9</f>
        <v>19</v>
      </c>
      <c r="AQ45" s="6">
        <f t="shared" si="36"/>
        <v>0</v>
      </c>
      <c r="AS45" s="25" t="s">
        <v>54</v>
      </c>
      <c r="AT45" t="s">
        <v>163</v>
      </c>
      <c r="AU45">
        <v>0</v>
      </c>
      <c r="AV45" s="7">
        <f t="shared" si="37"/>
        <v>0</v>
      </c>
      <c r="AW45">
        <v>0</v>
      </c>
      <c r="AX45" s="6">
        <f t="shared" si="38"/>
        <v>0</v>
      </c>
      <c r="AY45">
        <v>0</v>
      </c>
      <c r="AZ45">
        <v>0</v>
      </c>
      <c r="BA45">
        <f>Gameweek_10</f>
        <v>19</v>
      </c>
      <c r="BB45" s="6">
        <f t="shared" si="39"/>
        <v>0</v>
      </c>
      <c r="BD45" s="25" t="s">
        <v>37</v>
      </c>
      <c r="BE45" t="s">
        <v>148</v>
      </c>
      <c r="BF45">
        <v>0</v>
      </c>
      <c r="BG45" s="7">
        <f t="shared" si="11"/>
        <v>0</v>
      </c>
      <c r="BH45">
        <v>1</v>
      </c>
      <c r="BI45" s="6">
        <f t="shared" si="12"/>
        <v>0.125</v>
      </c>
      <c r="BJ45">
        <f t="shared" si="13"/>
        <v>1</v>
      </c>
      <c r="BK45">
        <v>2</v>
      </c>
      <c r="BL45">
        <f>Gameweek_11</f>
        <v>19</v>
      </c>
      <c r="BM45" s="6">
        <f t="shared" si="14"/>
        <v>1.75</v>
      </c>
      <c r="BO45" s="25" t="s">
        <v>55</v>
      </c>
      <c r="BP45" t="s">
        <v>148</v>
      </c>
      <c r="BQ45">
        <v>0</v>
      </c>
      <c r="BR45" s="7">
        <f t="shared" si="44"/>
        <v>0</v>
      </c>
      <c r="BS45">
        <v>0</v>
      </c>
      <c r="BT45" s="6">
        <f t="shared" si="45"/>
        <v>0</v>
      </c>
      <c r="BU45">
        <f t="shared" si="28"/>
        <v>0</v>
      </c>
      <c r="BV45">
        <v>0</v>
      </c>
      <c r="BW45">
        <f>Gameweek_12</f>
        <v>19</v>
      </c>
      <c r="BX45" s="6">
        <f t="shared" si="46"/>
        <v>0</v>
      </c>
      <c r="BZ45" s="25" t="s">
        <v>222</v>
      </c>
      <c r="CA45" t="s">
        <v>156</v>
      </c>
      <c r="CB45">
        <v>0</v>
      </c>
      <c r="CC45" s="7">
        <f t="shared" si="40"/>
        <v>0</v>
      </c>
      <c r="CD45">
        <v>0</v>
      </c>
      <c r="CE45" s="6">
        <f t="shared" si="41"/>
        <v>0</v>
      </c>
      <c r="CF45">
        <f t="shared" si="42"/>
        <v>0</v>
      </c>
      <c r="CG45">
        <v>0</v>
      </c>
      <c r="CH45">
        <f>Gameweek_13</f>
        <v>19</v>
      </c>
      <c r="CI45" s="6">
        <f t="shared" si="43"/>
        <v>0</v>
      </c>
      <c r="CK45" s="25" t="s">
        <v>222</v>
      </c>
      <c r="CL45" t="s">
        <v>156</v>
      </c>
      <c r="CM45">
        <v>0</v>
      </c>
      <c r="CN45" s="7">
        <f t="shared" si="21"/>
        <v>0</v>
      </c>
      <c r="CO45">
        <v>0</v>
      </c>
      <c r="CP45" s="6">
        <f t="shared" si="22"/>
        <v>0</v>
      </c>
      <c r="CQ45">
        <f t="shared" si="23"/>
        <v>0</v>
      </c>
      <c r="CR45">
        <v>0</v>
      </c>
      <c r="CS45">
        <f>Gameweek_13</f>
        <v>19</v>
      </c>
      <c r="CT45" s="6">
        <f t="shared" si="24"/>
        <v>0</v>
      </c>
    </row>
    <row r="46" spans="12:98" x14ac:dyDescent="0.2">
      <c r="L46" s="25" t="s">
        <v>58</v>
      </c>
      <c r="N46">
        <v>0</v>
      </c>
      <c r="O46" s="7">
        <f t="shared" si="0"/>
        <v>0</v>
      </c>
      <c r="P46" s="8">
        <v>1</v>
      </c>
      <c r="Q46" s="6">
        <f t="shared" si="1"/>
        <v>0.125</v>
      </c>
      <c r="R46" s="3">
        <v>0</v>
      </c>
      <c r="S46">
        <v>2</v>
      </c>
      <c r="T46">
        <f>Get_Color</f>
        <v>19</v>
      </c>
      <c r="U46" s="6">
        <f t="shared" si="2"/>
        <v>-0.25</v>
      </c>
      <c r="V46" s="6"/>
      <c r="W46" s="25" t="s">
        <v>62</v>
      </c>
      <c r="X46" t="s">
        <v>157</v>
      </c>
      <c r="Y46">
        <v>0</v>
      </c>
      <c r="Z46" s="7">
        <f t="shared" si="31"/>
        <v>0</v>
      </c>
      <c r="AA46">
        <v>0</v>
      </c>
      <c r="AB46" s="6">
        <f t="shared" si="33"/>
        <v>0</v>
      </c>
      <c r="AC46">
        <v>0</v>
      </c>
      <c r="AD46" s="8">
        <v>0</v>
      </c>
      <c r="AE46">
        <f>Gameweek_8</f>
        <v>19</v>
      </c>
      <c r="AF46" s="6">
        <f t="shared" si="34"/>
        <v>0</v>
      </c>
      <c r="AH46" s="25" t="s">
        <v>60</v>
      </c>
      <c r="AI46" t="s">
        <v>157</v>
      </c>
      <c r="AJ46">
        <v>0</v>
      </c>
      <c r="AK46" s="7">
        <f t="shared" si="32"/>
        <v>0</v>
      </c>
      <c r="AL46">
        <v>3</v>
      </c>
      <c r="AM46" s="6">
        <f t="shared" si="35"/>
        <v>0.375</v>
      </c>
      <c r="AN46">
        <v>0</v>
      </c>
      <c r="AO46">
        <v>2</v>
      </c>
      <c r="AP46">
        <f>Gameweek_9</f>
        <v>19</v>
      </c>
      <c r="AQ46" s="6">
        <f t="shared" si="36"/>
        <v>-0.75</v>
      </c>
      <c r="AS46" s="25" t="s">
        <v>62</v>
      </c>
      <c r="AT46" t="s">
        <v>157</v>
      </c>
      <c r="AU46">
        <v>0</v>
      </c>
      <c r="AV46" s="7">
        <f t="shared" si="37"/>
        <v>0</v>
      </c>
      <c r="AW46">
        <v>0</v>
      </c>
      <c r="AX46" s="6">
        <f t="shared" si="38"/>
        <v>0</v>
      </c>
      <c r="AY46">
        <v>0</v>
      </c>
      <c r="AZ46">
        <v>0</v>
      </c>
      <c r="BA46">
        <f>Gameweek_10</f>
        <v>19</v>
      </c>
      <c r="BB46" s="6">
        <f t="shared" si="39"/>
        <v>0</v>
      </c>
      <c r="BD46" s="25" t="s">
        <v>64</v>
      </c>
      <c r="BE46" t="s">
        <v>163</v>
      </c>
      <c r="BF46">
        <v>0</v>
      </c>
      <c r="BG46" s="7">
        <f t="shared" si="11"/>
        <v>0</v>
      </c>
      <c r="BH46">
        <v>1</v>
      </c>
      <c r="BI46" s="6">
        <f t="shared" si="12"/>
        <v>0.125</v>
      </c>
      <c r="BJ46">
        <f t="shared" si="13"/>
        <v>1</v>
      </c>
      <c r="BK46">
        <v>2</v>
      </c>
      <c r="BL46">
        <f>Gameweek_11</f>
        <v>19</v>
      </c>
      <c r="BM46" s="6">
        <f t="shared" si="14"/>
        <v>1.75</v>
      </c>
      <c r="BO46" s="25" t="s">
        <v>54</v>
      </c>
      <c r="BP46" t="s">
        <v>163</v>
      </c>
      <c r="BQ46">
        <v>0</v>
      </c>
      <c r="BR46" s="7">
        <f t="shared" si="44"/>
        <v>0</v>
      </c>
      <c r="BT46" s="6">
        <f t="shared" si="45"/>
        <v>0</v>
      </c>
      <c r="BU46">
        <f t="shared" si="28"/>
        <v>0</v>
      </c>
      <c r="BV46">
        <v>0</v>
      </c>
      <c r="BW46">
        <f>Gameweek_12</f>
        <v>19</v>
      </c>
      <c r="BX46" s="6">
        <f t="shared" si="46"/>
        <v>0</v>
      </c>
      <c r="BZ46" s="25" t="s">
        <v>133</v>
      </c>
      <c r="CA46" t="s">
        <v>155</v>
      </c>
      <c r="CB46">
        <v>0</v>
      </c>
      <c r="CC46" s="7">
        <f t="shared" si="40"/>
        <v>0</v>
      </c>
      <c r="CD46">
        <v>0</v>
      </c>
      <c r="CE46" s="6">
        <f t="shared" si="41"/>
        <v>0</v>
      </c>
      <c r="CF46">
        <f t="shared" si="42"/>
        <v>0</v>
      </c>
      <c r="CG46">
        <v>0</v>
      </c>
      <c r="CH46">
        <f>Gameweek_13</f>
        <v>19</v>
      </c>
      <c r="CI46" s="6">
        <f t="shared" si="43"/>
        <v>0</v>
      </c>
      <c r="CK46" s="25" t="s">
        <v>133</v>
      </c>
      <c r="CL46" t="s">
        <v>155</v>
      </c>
      <c r="CM46">
        <v>0</v>
      </c>
      <c r="CN46" s="7">
        <f t="shared" si="21"/>
        <v>0</v>
      </c>
      <c r="CO46">
        <v>0</v>
      </c>
      <c r="CP46" s="6">
        <f t="shared" si="22"/>
        <v>0</v>
      </c>
      <c r="CQ46">
        <f t="shared" si="23"/>
        <v>0</v>
      </c>
      <c r="CR46">
        <v>0</v>
      </c>
      <c r="CS46">
        <f>Gameweek_13</f>
        <v>19</v>
      </c>
      <c r="CT46" s="6">
        <f t="shared" si="24"/>
        <v>0</v>
      </c>
    </row>
    <row r="47" spans="12:98" x14ac:dyDescent="0.2">
      <c r="L47" s="25" t="s">
        <v>59</v>
      </c>
      <c r="N47">
        <v>0</v>
      </c>
      <c r="O47" s="7">
        <f t="shared" si="0"/>
        <v>0</v>
      </c>
      <c r="P47" s="8">
        <v>1</v>
      </c>
      <c r="Q47" s="6">
        <f t="shared" si="1"/>
        <v>0.125</v>
      </c>
      <c r="R47" s="3">
        <v>0</v>
      </c>
      <c r="S47">
        <v>1</v>
      </c>
      <c r="T47">
        <f>Get_Color</f>
        <v>19</v>
      </c>
      <c r="U47" s="6">
        <f t="shared" si="2"/>
        <v>-0.125</v>
      </c>
      <c r="V47" s="6"/>
      <c r="W47" s="25" t="s">
        <v>56</v>
      </c>
      <c r="X47" t="s">
        <v>157</v>
      </c>
      <c r="Y47">
        <v>0</v>
      </c>
      <c r="Z47" s="7">
        <f t="shared" si="31"/>
        <v>0</v>
      </c>
      <c r="AA47">
        <v>1</v>
      </c>
      <c r="AB47" s="6">
        <f t="shared" si="33"/>
        <v>0.125</v>
      </c>
      <c r="AC47">
        <v>0</v>
      </c>
      <c r="AD47" s="8">
        <v>0</v>
      </c>
      <c r="AE47">
        <f>Gameweek_8</f>
        <v>19</v>
      </c>
      <c r="AF47" s="6">
        <f t="shared" si="34"/>
        <v>0</v>
      </c>
      <c r="AH47" s="25" t="s">
        <v>54</v>
      </c>
      <c r="AI47" t="s">
        <v>163</v>
      </c>
      <c r="AJ47">
        <v>0</v>
      </c>
      <c r="AK47" s="7">
        <f t="shared" si="32"/>
        <v>0</v>
      </c>
      <c r="AL47">
        <v>2</v>
      </c>
      <c r="AM47" s="6">
        <f t="shared" si="35"/>
        <v>0.25</v>
      </c>
      <c r="AN47">
        <v>0</v>
      </c>
      <c r="AO47">
        <v>2</v>
      </c>
      <c r="AP47">
        <f>Gameweek_9</f>
        <v>19</v>
      </c>
      <c r="AQ47" s="6">
        <f t="shared" si="36"/>
        <v>-0.5</v>
      </c>
      <c r="AS47" s="25" t="s">
        <v>53</v>
      </c>
      <c r="AT47" t="s">
        <v>162</v>
      </c>
      <c r="AU47">
        <v>0</v>
      </c>
      <c r="AV47" s="7">
        <f t="shared" si="37"/>
        <v>0</v>
      </c>
      <c r="AX47" s="6">
        <f t="shared" si="38"/>
        <v>0</v>
      </c>
      <c r="AY47">
        <v>0</v>
      </c>
      <c r="AZ47">
        <v>0</v>
      </c>
      <c r="BA47">
        <f>Gameweek_10</f>
        <v>19</v>
      </c>
      <c r="BB47" s="6">
        <f t="shared" si="39"/>
        <v>0</v>
      </c>
      <c r="BD47" s="25" t="s">
        <v>55</v>
      </c>
      <c r="BE47" t="s">
        <v>148</v>
      </c>
      <c r="BF47">
        <v>0</v>
      </c>
      <c r="BG47" s="7">
        <f t="shared" si="11"/>
        <v>0</v>
      </c>
      <c r="BH47">
        <v>0</v>
      </c>
      <c r="BI47" s="6">
        <f t="shared" si="12"/>
        <v>0</v>
      </c>
      <c r="BJ47">
        <f t="shared" si="13"/>
        <v>1</v>
      </c>
      <c r="BK47">
        <v>1</v>
      </c>
      <c r="BL47">
        <f>Gameweek_11</f>
        <v>19</v>
      </c>
      <c r="BM47" s="6">
        <f t="shared" si="14"/>
        <v>1</v>
      </c>
      <c r="BO47" s="25" t="s">
        <v>56</v>
      </c>
      <c r="BP47" t="s">
        <v>157</v>
      </c>
      <c r="BQ47">
        <v>0</v>
      </c>
      <c r="BR47" s="7">
        <f t="shared" si="44"/>
        <v>0</v>
      </c>
      <c r="BS47">
        <v>0</v>
      </c>
      <c r="BT47" s="6">
        <f t="shared" si="45"/>
        <v>0</v>
      </c>
      <c r="BU47">
        <f t="shared" si="28"/>
        <v>0</v>
      </c>
      <c r="BV47">
        <v>0</v>
      </c>
      <c r="BW47">
        <f>Gameweek_12</f>
        <v>19</v>
      </c>
      <c r="BX47" s="6">
        <f t="shared" si="46"/>
        <v>0</v>
      </c>
      <c r="BZ47" s="25" t="s">
        <v>227</v>
      </c>
      <c r="CA47" t="s">
        <v>164</v>
      </c>
      <c r="CB47">
        <v>0</v>
      </c>
      <c r="CC47" s="7">
        <f t="shared" si="40"/>
        <v>0</v>
      </c>
      <c r="CD47">
        <v>1</v>
      </c>
      <c r="CE47" s="6">
        <f t="shared" si="41"/>
        <v>0.125</v>
      </c>
      <c r="CF47">
        <f t="shared" si="42"/>
        <v>0</v>
      </c>
      <c r="CG47">
        <v>1</v>
      </c>
      <c r="CH47">
        <f>Gameweek_13</f>
        <v>19</v>
      </c>
      <c r="CI47" s="6">
        <f t="shared" si="43"/>
        <v>-0.125</v>
      </c>
      <c r="CK47" s="25" t="s">
        <v>227</v>
      </c>
      <c r="CL47" t="s">
        <v>164</v>
      </c>
      <c r="CM47">
        <v>0</v>
      </c>
      <c r="CN47" s="7">
        <f t="shared" si="21"/>
        <v>0</v>
      </c>
      <c r="CO47">
        <v>1</v>
      </c>
      <c r="CP47" s="6">
        <f t="shared" si="22"/>
        <v>0.125</v>
      </c>
      <c r="CQ47">
        <f t="shared" si="23"/>
        <v>0</v>
      </c>
      <c r="CR47">
        <v>2</v>
      </c>
      <c r="CS47">
        <f>Gameweek_13</f>
        <v>19</v>
      </c>
      <c r="CT47" s="6">
        <f t="shared" si="24"/>
        <v>-0.25</v>
      </c>
    </row>
    <row r="48" spans="12:98" x14ac:dyDescent="0.2">
      <c r="L48" s="25" t="s">
        <v>60</v>
      </c>
      <c r="N48">
        <v>0</v>
      </c>
      <c r="O48" s="7">
        <f t="shared" si="0"/>
        <v>0</v>
      </c>
      <c r="P48" s="8">
        <v>1</v>
      </c>
      <c r="Q48" s="6">
        <f t="shared" si="1"/>
        <v>0.125</v>
      </c>
      <c r="R48" s="3">
        <v>0</v>
      </c>
      <c r="S48">
        <v>0</v>
      </c>
      <c r="T48">
        <f>Get_Color</f>
        <v>19</v>
      </c>
      <c r="U48" s="6">
        <f t="shared" si="2"/>
        <v>0</v>
      </c>
      <c r="V48" s="6"/>
      <c r="W48" s="25" t="s">
        <v>5</v>
      </c>
      <c r="X48" t="s">
        <v>150</v>
      </c>
      <c r="Y48">
        <v>0</v>
      </c>
      <c r="Z48" s="7">
        <f t="shared" si="31"/>
        <v>0</v>
      </c>
      <c r="AA48">
        <v>2</v>
      </c>
      <c r="AB48" s="6">
        <f t="shared" si="33"/>
        <v>0.25</v>
      </c>
      <c r="AC48">
        <v>0</v>
      </c>
      <c r="AD48" s="8">
        <v>0</v>
      </c>
      <c r="AE48">
        <f>Gameweek_8</f>
        <v>19</v>
      </c>
      <c r="AF48" s="6">
        <f t="shared" si="34"/>
        <v>0</v>
      </c>
      <c r="AH48" s="25" t="s">
        <v>143</v>
      </c>
      <c r="AI48" t="s">
        <v>157</v>
      </c>
      <c r="AJ48">
        <v>0</v>
      </c>
      <c r="AK48" s="7">
        <f t="shared" si="32"/>
        <v>0</v>
      </c>
      <c r="AL48">
        <v>1</v>
      </c>
      <c r="AM48" s="6">
        <f t="shared" si="35"/>
        <v>0.125</v>
      </c>
      <c r="AN48">
        <v>0</v>
      </c>
      <c r="AO48">
        <v>1</v>
      </c>
      <c r="AP48">
        <f>Gameweek_9</f>
        <v>19</v>
      </c>
      <c r="AQ48" s="6">
        <f t="shared" si="36"/>
        <v>-0.125</v>
      </c>
      <c r="AS48" s="25" t="s">
        <v>38</v>
      </c>
      <c r="AT48" t="s">
        <v>159</v>
      </c>
      <c r="AU48">
        <v>0</v>
      </c>
      <c r="AV48" s="7">
        <f t="shared" si="37"/>
        <v>0</v>
      </c>
      <c r="AX48" s="6">
        <f t="shared" si="38"/>
        <v>0</v>
      </c>
      <c r="AY48">
        <v>0</v>
      </c>
      <c r="AZ48">
        <v>0</v>
      </c>
      <c r="BA48">
        <f>Gameweek_10</f>
        <v>19</v>
      </c>
      <c r="BB48" s="6">
        <f t="shared" si="39"/>
        <v>0</v>
      </c>
      <c r="BD48" s="25" t="s">
        <v>54</v>
      </c>
      <c r="BE48" t="s">
        <v>163</v>
      </c>
      <c r="BF48">
        <v>0</v>
      </c>
      <c r="BG48" s="7">
        <f t="shared" si="11"/>
        <v>0</v>
      </c>
      <c r="BH48">
        <v>0</v>
      </c>
      <c r="BI48" s="6">
        <f t="shared" si="12"/>
        <v>0</v>
      </c>
      <c r="BJ48">
        <f t="shared" si="13"/>
        <v>1</v>
      </c>
      <c r="BK48">
        <v>1</v>
      </c>
      <c r="BL48">
        <f>Gameweek_11</f>
        <v>19</v>
      </c>
      <c r="BM48" s="6">
        <f t="shared" si="14"/>
        <v>1</v>
      </c>
      <c r="BO48" s="25" t="s">
        <v>59</v>
      </c>
      <c r="BP48" t="s">
        <v>163</v>
      </c>
      <c r="BQ48">
        <v>0</v>
      </c>
      <c r="BR48" s="7">
        <f t="shared" si="44"/>
        <v>0</v>
      </c>
      <c r="BS48">
        <v>1</v>
      </c>
      <c r="BT48" s="6">
        <f t="shared" si="45"/>
        <v>0.125</v>
      </c>
      <c r="BU48">
        <f t="shared" si="28"/>
        <v>0</v>
      </c>
      <c r="BV48">
        <v>1</v>
      </c>
      <c r="BW48">
        <f>Gameweek_12</f>
        <v>19</v>
      </c>
      <c r="BX48" s="6">
        <f t="shared" si="46"/>
        <v>-0.125</v>
      </c>
      <c r="BZ48" s="25" t="s">
        <v>58</v>
      </c>
      <c r="CA48" t="s">
        <v>164</v>
      </c>
      <c r="CB48">
        <v>0</v>
      </c>
      <c r="CC48" s="7">
        <f t="shared" si="40"/>
        <v>0</v>
      </c>
      <c r="CD48">
        <v>4</v>
      </c>
      <c r="CE48" s="6">
        <f t="shared" si="41"/>
        <v>0.5</v>
      </c>
      <c r="CF48">
        <f t="shared" si="42"/>
        <v>0</v>
      </c>
      <c r="CG48">
        <v>2</v>
      </c>
      <c r="CH48">
        <f>Gameweek_13</f>
        <v>19</v>
      </c>
      <c r="CI48" s="6">
        <f t="shared" si="43"/>
        <v>-1</v>
      </c>
      <c r="CK48" s="25" t="s">
        <v>58</v>
      </c>
      <c r="CL48" t="s">
        <v>164</v>
      </c>
      <c r="CM48">
        <v>0</v>
      </c>
      <c r="CN48" s="7">
        <f t="shared" si="21"/>
        <v>0</v>
      </c>
      <c r="CO48">
        <v>4</v>
      </c>
      <c r="CP48" s="6">
        <f t="shared" si="22"/>
        <v>0.5</v>
      </c>
      <c r="CQ48">
        <f t="shared" si="23"/>
        <v>0</v>
      </c>
      <c r="CR48">
        <v>1</v>
      </c>
      <c r="CS48">
        <f>Gameweek_13</f>
        <v>19</v>
      </c>
      <c r="CT48" s="6">
        <f t="shared" si="24"/>
        <v>-0.5</v>
      </c>
    </row>
    <row r="49" spans="12:98" x14ac:dyDescent="0.2">
      <c r="L49" s="25" t="s">
        <v>61</v>
      </c>
      <c r="N49">
        <v>0</v>
      </c>
      <c r="O49" s="7">
        <f t="shared" si="0"/>
        <v>0</v>
      </c>
      <c r="P49" s="8">
        <v>1</v>
      </c>
      <c r="Q49" s="6">
        <f t="shared" si="1"/>
        <v>0.125</v>
      </c>
      <c r="R49" s="3">
        <v>0</v>
      </c>
      <c r="S49">
        <v>3</v>
      </c>
      <c r="T49">
        <f>Get_Color</f>
        <v>19</v>
      </c>
      <c r="U49" s="6">
        <f t="shared" si="2"/>
        <v>-0.375</v>
      </c>
      <c r="V49" s="6"/>
      <c r="W49" s="25" t="s">
        <v>61</v>
      </c>
      <c r="X49" t="s">
        <v>151</v>
      </c>
      <c r="Y49">
        <v>0</v>
      </c>
      <c r="Z49" s="7">
        <f t="shared" si="31"/>
        <v>0</v>
      </c>
      <c r="AA49">
        <v>3</v>
      </c>
      <c r="AB49" s="6">
        <f t="shared" si="33"/>
        <v>0.375</v>
      </c>
      <c r="AC49">
        <v>0</v>
      </c>
      <c r="AD49" s="8">
        <v>0</v>
      </c>
      <c r="AE49">
        <f>Gameweek_8</f>
        <v>19</v>
      </c>
      <c r="AF49" s="6">
        <f t="shared" si="34"/>
        <v>0</v>
      </c>
      <c r="AH49" s="25" t="s">
        <v>172</v>
      </c>
      <c r="AI49" t="s">
        <v>163</v>
      </c>
      <c r="AJ49">
        <v>0</v>
      </c>
      <c r="AK49" s="7">
        <f t="shared" si="32"/>
        <v>0</v>
      </c>
      <c r="AL49">
        <v>2</v>
      </c>
      <c r="AM49" s="6">
        <f t="shared" si="35"/>
        <v>0.25</v>
      </c>
      <c r="AN49">
        <v>0</v>
      </c>
      <c r="AO49">
        <v>1</v>
      </c>
      <c r="AP49">
        <f>Gameweek_9</f>
        <v>19</v>
      </c>
      <c r="AQ49" s="6">
        <f t="shared" si="36"/>
        <v>-0.25</v>
      </c>
      <c r="AS49" s="25" t="s">
        <v>170</v>
      </c>
      <c r="AT49" t="s">
        <v>171</v>
      </c>
      <c r="AU49">
        <v>0</v>
      </c>
      <c r="AV49" s="7">
        <f t="shared" si="37"/>
        <v>0</v>
      </c>
      <c r="AW49">
        <v>0</v>
      </c>
      <c r="AX49" s="6">
        <f t="shared" si="38"/>
        <v>0</v>
      </c>
      <c r="AY49">
        <v>0</v>
      </c>
      <c r="AZ49">
        <v>0</v>
      </c>
      <c r="BA49">
        <f>Gameweek_10</f>
        <v>19</v>
      </c>
      <c r="BB49" s="6">
        <f t="shared" si="39"/>
        <v>0</v>
      </c>
      <c r="BD49" s="25" t="s">
        <v>56</v>
      </c>
      <c r="BE49" t="s">
        <v>157</v>
      </c>
      <c r="BF49">
        <v>0</v>
      </c>
      <c r="BG49" s="7">
        <f t="shared" si="11"/>
        <v>0</v>
      </c>
      <c r="BH49">
        <v>0</v>
      </c>
      <c r="BI49" s="6">
        <f t="shared" si="12"/>
        <v>0</v>
      </c>
      <c r="BJ49">
        <f t="shared" si="13"/>
        <v>1</v>
      </c>
      <c r="BK49">
        <v>2</v>
      </c>
      <c r="BL49">
        <f>Gameweek_11</f>
        <v>19</v>
      </c>
      <c r="BM49" s="6">
        <f t="shared" si="14"/>
        <v>2</v>
      </c>
      <c r="BO49" s="25" t="s">
        <v>62</v>
      </c>
      <c r="BP49" t="s">
        <v>157</v>
      </c>
      <c r="BQ49">
        <v>0</v>
      </c>
      <c r="BR49" s="7">
        <f t="shared" si="44"/>
        <v>0</v>
      </c>
      <c r="BS49">
        <v>0</v>
      </c>
      <c r="BT49" s="6">
        <f t="shared" si="45"/>
        <v>0</v>
      </c>
      <c r="BU49">
        <f t="shared" si="28"/>
        <v>0</v>
      </c>
      <c r="BV49">
        <v>6</v>
      </c>
      <c r="BW49">
        <f>Gameweek_12</f>
        <v>19</v>
      </c>
      <c r="BX49" s="6">
        <f t="shared" si="46"/>
        <v>0</v>
      </c>
      <c r="BZ49" s="25" t="s">
        <v>228</v>
      </c>
      <c r="CA49" t="s">
        <v>150</v>
      </c>
      <c r="CB49">
        <v>0</v>
      </c>
      <c r="CC49" s="7">
        <f t="shared" si="40"/>
        <v>0</v>
      </c>
      <c r="CD49">
        <v>1</v>
      </c>
      <c r="CE49" s="6">
        <f t="shared" si="41"/>
        <v>0.125</v>
      </c>
      <c r="CF49">
        <f t="shared" si="42"/>
        <v>0</v>
      </c>
      <c r="CG49">
        <v>0</v>
      </c>
      <c r="CH49">
        <f>Gameweek_13</f>
        <v>19</v>
      </c>
      <c r="CI49" s="6">
        <f t="shared" si="43"/>
        <v>0</v>
      </c>
      <c r="CK49" s="25" t="s">
        <v>228</v>
      </c>
      <c r="CL49" t="s">
        <v>150</v>
      </c>
      <c r="CM49">
        <v>0</v>
      </c>
      <c r="CN49" s="7">
        <f t="shared" si="21"/>
        <v>0</v>
      </c>
      <c r="CO49">
        <v>1</v>
      </c>
      <c r="CP49" s="6">
        <f t="shared" si="22"/>
        <v>0.125</v>
      </c>
      <c r="CQ49">
        <f t="shared" si="23"/>
        <v>0</v>
      </c>
      <c r="CR49">
        <v>0</v>
      </c>
      <c r="CS49">
        <f>Gameweek_13</f>
        <v>19</v>
      </c>
      <c r="CT49" s="6">
        <f t="shared" si="24"/>
        <v>0</v>
      </c>
    </row>
    <row r="50" spans="12:98" x14ac:dyDescent="0.2">
      <c r="L50" s="25" t="s">
        <v>62</v>
      </c>
      <c r="N50">
        <v>0</v>
      </c>
      <c r="O50" s="7">
        <f t="shared" si="0"/>
        <v>0</v>
      </c>
      <c r="P50" s="8">
        <v>1</v>
      </c>
      <c r="Q50" s="6">
        <f t="shared" si="1"/>
        <v>0.125</v>
      </c>
      <c r="R50" s="3">
        <v>0</v>
      </c>
      <c r="S50">
        <v>1</v>
      </c>
      <c r="T50">
        <f>Get_Color</f>
        <v>19</v>
      </c>
      <c r="U50" s="6">
        <f t="shared" si="2"/>
        <v>-0.125</v>
      </c>
      <c r="V50" s="6"/>
      <c r="W50" s="25" t="s">
        <v>50</v>
      </c>
      <c r="X50" t="s">
        <v>160</v>
      </c>
      <c r="Y50">
        <v>0</v>
      </c>
      <c r="Z50" s="7">
        <f t="shared" si="31"/>
        <v>0</v>
      </c>
      <c r="AA50">
        <v>1</v>
      </c>
      <c r="AB50" s="6">
        <f t="shared" si="33"/>
        <v>0.125</v>
      </c>
      <c r="AC50">
        <v>0</v>
      </c>
      <c r="AD50" s="8">
        <v>0</v>
      </c>
      <c r="AE50">
        <f>Gameweek_8</f>
        <v>19</v>
      </c>
      <c r="AF50" s="6">
        <f t="shared" si="34"/>
        <v>0</v>
      </c>
      <c r="AH50" s="25" t="s">
        <v>137</v>
      </c>
      <c r="AI50" t="s">
        <v>156</v>
      </c>
      <c r="AJ50">
        <v>1</v>
      </c>
      <c r="AK50" s="7">
        <f t="shared" si="32"/>
        <v>0.1111111111111111</v>
      </c>
      <c r="AL50">
        <v>1</v>
      </c>
      <c r="AM50" s="6">
        <f t="shared" si="35"/>
        <v>0.2361111111111111</v>
      </c>
      <c r="AN50">
        <v>0</v>
      </c>
      <c r="AO50">
        <v>1</v>
      </c>
      <c r="AP50">
        <f>Gameweek_9</f>
        <v>19</v>
      </c>
      <c r="AQ50" s="6">
        <f t="shared" si="36"/>
        <v>-0.2361111111111111</v>
      </c>
      <c r="AS50" s="25" t="s">
        <v>203</v>
      </c>
      <c r="AT50" t="s">
        <v>161</v>
      </c>
      <c r="AU50">
        <v>0</v>
      </c>
      <c r="AV50" s="7">
        <f t="shared" si="37"/>
        <v>0</v>
      </c>
      <c r="AW50">
        <v>1</v>
      </c>
      <c r="AX50" s="6">
        <f t="shared" si="38"/>
        <v>0.125</v>
      </c>
      <c r="AY50">
        <v>0</v>
      </c>
      <c r="AZ50">
        <v>1</v>
      </c>
      <c r="BA50">
        <f>Gameweek_10</f>
        <v>19</v>
      </c>
      <c r="BB50" s="6">
        <f t="shared" si="39"/>
        <v>-0.125</v>
      </c>
      <c r="BD50" s="25" t="s">
        <v>59</v>
      </c>
      <c r="BE50" t="s">
        <v>163</v>
      </c>
      <c r="BF50">
        <v>0</v>
      </c>
      <c r="BG50" s="7">
        <f t="shared" si="11"/>
        <v>0</v>
      </c>
      <c r="BH50">
        <v>1</v>
      </c>
      <c r="BI50" s="6">
        <f t="shared" si="12"/>
        <v>0.125</v>
      </c>
      <c r="BJ50">
        <f t="shared" si="13"/>
        <v>1</v>
      </c>
      <c r="BK50">
        <v>3</v>
      </c>
      <c r="BL50">
        <f>Gameweek_11</f>
        <v>19</v>
      </c>
      <c r="BM50" s="6">
        <f t="shared" si="14"/>
        <v>2.625</v>
      </c>
      <c r="BO50" s="25" t="s">
        <v>224</v>
      </c>
      <c r="BP50" t="s">
        <v>161</v>
      </c>
      <c r="BQ50">
        <v>0</v>
      </c>
      <c r="BR50" s="7">
        <f t="shared" si="44"/>
        <v>0</v>
      </c>
      <c r="BS50">
        <v>1</v>
      </c>
      <c r="BT50" s="6">
        <f t="shared" si="45"/>
        <v>0.125</v>
      </c>
      <c r="BU50">
        <f t="shared" si="28"/>
        <v>0</v>
      </c>
      <c r="BV50">
        <v>3</v>
      </c>
      <c r="BW50">
        <f>Gameweek_12</f>
        <v>19</v>
      </c>
      <c r="BX50" s="6">
        <f t="shared" si="46"/>
        <v>-0.375</v>
      </c>
      <c r="BZ50" s="25" t="s">
        <v>5</v>
      </c>
      <c r="CA50" t="s">
        <v>150</v>
      </c>
      <c r="CB50">
        <v>0</v>
      </c>
      <c r="CC50" s="7">
        <f t="shared" si="40"/>
        <v>0</v>
      </c>
      <c r="CD50">
        <v>4</v>
      </c>
      <c r="CE50" s="6">
        <f t="shared" si="41"/>
        <v>0.5</v>
      </c>
      <c r="CF50">
        <f t="shared" si="42"/>
        <v>0</v>
      </c>
      <c r="CG50">
        <v>14</v>
      </c>
      <c r="CH50">
        <f>Gameweek_13</f>
        <v>19</v>
      </c>
      <c r="CI50" s="6">
        <f t="shared" si="43"/>
        <v>-7</v>
      </c>
      <c r="CK50" s="25" t="s">
        <v>5</v>
      </c>
      <c r="CL50" t="s">
        <v>150</v>
      </c>
      <c r="CM50">
        <v>0</v>
      </c>
      <c r="CN50" s="7">
        <f t="shared" si="21"/>
        <v>0</v>
      </c>
      <c r="CO50">
        <v>6</v>
      </c>
      <c r="CP50" s="6">
        <f t="shared" si="22"/>
        <v>0.75</v>
      </c>
      <c r="CQ50">
        <f t="shared" si="23"/>
        <v>0</v>
      </c>
      <c r="CR50">
        <v>0</v>
      </c>
      <c r="CS50">
        <f>Gameweek_13</f>
        <v>19</v>
      </c>
      <c r="CT50" s="6">
        <f t="shared" si="24"/>
        <v>0</v>
      </c>
    </row>
    <row r="51" spans="12:98" x14ac:dyDescent="0.2">
      <c r="L51" s="25" t="s">
        <v>63</v>
      </c>
      <c r="N51">
        <v>0</v>
      </c>
      <c r="O51" s="7">
        <f t="shared" si="0"/>
        <v>0</v>
      </c>
      <c r="P51" s="8">
        <v>1</v>
      </c>
      <c r="Q51" s="6">
        <f t="shared" si="1"/>
        <v>0.125</v>
      </c>
      <c r="R51" s="3">
        <v>0</v>
      </c>
      <c r="S51">
        <v>0</v>
      </c>
      <c r="T51">
        <f>Get_Color</f>
        <v>19</v>
      </c>
      <c r="U51" s="6">
        <f t="shared" si="2"/>
        <v>0</v>
      </c>
      <c r="V51" s="6"/>
      <c r="W51" s="25" t="s">
        <v>40</v>
      </c>
      <c r="X51" t="s">
        <v>153</v>
      </c>
      <c r="Y51">
        <v>0</v>
      </c>
      <c r="Z51" s="7">
        <f t="shared" si="31"/>
        <v>0</v>
      </c>
      <c r="AA51">
        <v>2</v>
      </c>
      <c r="AB51" s="6">
        <f t="shared" si="33"/>
        <v>0.25</v>
      </c>
      <c r="AC51">
        <v>0</v>
      </c>
      <c r="AD51" s="8">
        <v>0</v>
      </c>
      <c r="AE51">
        <f>Gameweek_8</f>
        <v>19</v>
      </c>
      <c r="AF51" s="6">
        <f t="shared" si="34"/>
        <v>0</v>
      </c>
      <c r="AH51" s="25" t="s">
        <v>167</v>
      </c>
      <c r="AI51" t="s">
        <v>157</v>
      </c>
      <c r="AJ51">
        <v>1</v>
      </c>
      <c r="AK51" s="7">
        <f t="shared" si="32"/>
        <v>0.1111111111111111</v>
      </c>
      <c r="AL51">
        <v>1</v>
      </c>
      <c r="AM51" s="6">
        <f t="shared" si="35"/>
        <v>0.2361111111111111</v>
      </c>
      <c r="AN51">
        <v>0</v>
      </c>
      <c r="AO51">
        <v>1</v>
      </c>
      <c r="AP51">
        <f>Gameweek_9</f>
        <v>19</v>
      </c>
      <c r="AQ51" s="6">
        <f t="shared" si="36"/>
        <v>-0.2361111111111111</v>
      </c>
      <c r="AS51" s="25" t="s">
        <v>169</v>
      </c>
      <c r="AT51" t="s">
        <v>160</v>
      </c>
      <c r="AU51">
        <v>0</v>
      </c>
      <c r="AV51" s="7">
        <f t="shared" si="37"/>
        <v>0</v>
      </c>
      <c r="AW51">
        <v>1</v>
      </c>
      <c r="AX51" s="6">
        <f t="shared" si="38"/>
        <v>0.125</v>
      </c>
      <c r="AY51">
        <v>0</v>
      </c>
      <c r="AZ51">
        <v>1</v>
      </c>
      <c r="BA51">
        <f>Gameweek_10</f>
        <v>19</v>
      </c>
      <c r="BB51" s="6">
        <f t="shared" si="39"/>
        <v>-0.125</v>
      </c>
      <c r="BD51" s="25" t="s">
        <v>62</v>
      </c>
      <c r="BE51" t="s">
        <v>157</v>
      </c>
      <c r="BF51">
        <v>0</v>
      </c>
      <c r="BG51" s="7">
        <f t="shared" si="11"/>
        <v>0</v>
      </c>
      <c r="BH51">
        <v>0</v>
      </c>
      <c r="BI51" s="6">
        <f t="shared" si="12"/>
        <v>0</v>
      </c>
      <c r="BJ51">
        <f t="shared" si="13"/>
        <v>1</v>
      </c>
      <c r="BK51">
        <v>6</v>
      </c>
      <c r="BL51">
        <f>Gameweek_11</f>
        <v>19</v>
      </c>
      <c r="BM51" s="6">
        <f t="shared" si="14"/>
        <v>6</v>
      </c>
      <c r="BO51" s="25" t="s">
        <v>203</v>
      </c>
      <c r="BP51" t="s">
        <v>161</v>
      </c>
      <c r="BQ51">
        <v>0</v>
      </c>
      <c r="BR51" s="7">
        <f t="shared" si="44"/>
        <v>0</v>
      </c>
      <c r="BS51">
        <v>1</v>
      </c>
      <c r="BT51" s="6">
        <f t="shared" si="45"/>
        <v>0.125</v>
      </c>
      <c r="BU51">
        <f t="shared" si="28"/>
        <v>0</v>
      </c>
      <c r="BV51">
        <v>1</v>
      </c>
      <c r="BW51">
        <f>Gameweek_12</f>
        <v>19</v>
      </c>
      <c r="BX51" s="6">
        <f t="shared" si="46"/>
        <v>-0.125</v>
      </c>
      <c r="BZ51" s="25" t="s">
        <v>143</v>
      </c>
      <c r="CA51" t="s">
        <v>157</v>
      </c>
      <c r="CB51">
        <v>0</v>
      </c>
      <c r="CC51" s="7">
        <f t="shared" si="40"/>
        <v>0</v>
      </c>
      <c r="CD51">
        <v>1</v>
      </c>
      <c r="CE51" s="6">
        <f t="shared" si="41"/>
        <v>0.125</v>
      </c>
      <c r="CF51">
        <f t="shared" si="42"/>
        <v>0</v>
      </c>
      <c r="CG51">
        <v>2</v>
      </c>
      <c r="CH51">
        <f>Gameweek_13</f>
        <v>19</v>
      </c>
      <c r="CI51" s="6">
        <f t="shared" si="43"/>
        <v>-0.25</v>
      </c>
      <c r="CK51" s="25" t="s">
        <v>143</v>
      </c>
      <c r="CL51" t="s">
        <v>157</v>
      </c>
      <c r="CM51">
        <v>0</v>
      </c>
      <c r="CN51" s="7">
        <f t="shared" si="21"/>
        <v>0</v>
      </c>
      <c r="CO51">
        <v>1</v>
      </c>
      <c r="CP51" s="6">
        <f t="shared" si="22"/>
        <v>0.125</v>
      </c>
      <c r="CQ51">
        <f t="shared" si="23"/>
        <v>0</v>
      </c>
      <c r="CR51">
        <v>0</v>
      </c>
      <c r="CS51">
        <f>Gameweek_13</f>
        <v>19</v>
      </c>
      <c r="CT51" s="6">
        <f t="shared" si="24"/>
        <v>0</v>
      </c>
    </row>
    <row r="52" spans="12:98" x14ac:dyDescent="0.2">
      <c r="L52" s="25" t="s">
        <v>64</v>
      </c>
      <c r="N52">
        <v>0</v>
      </c>
      <c r="O52" s="7">
        <f t="shared" si="0"/>
        <v>0</v>
      </c>
      <c r="P52" s="8">
        <v>1</v>
      </c>
      <c r="Q52" s="6">
        <f t="shared" si="1"/>
        <v>0.125</v>
      </c>
      <c r="R52" s="3">
        <v>0</v>
      </c>
      <c r="S52">
        <v>0</v>
      </c>
      <c r="T52">
        <f>Get_Color</f>
        <v>19</v>
      </c>
      <c r="U52" s="6">
        <f t="shared" si="2"/>
        <v>0</v>
      </c>
      <c r="V52" s="6"/>
      <c r="W52" s="25" t="s">
        <v>46</v>
      </c>
      <c r="X52" t="s">
        <v>156</v>
      </c>
      <c r="Y52">
        <v>0</v>
      </c>
      <c r="Z52" s="7">
        <f t="shared" si="31"/>
        <v>0</v>
      </c>
      <c r="AA52">
        <v>3</v>
      </c>
      <c r="AB52" s="6">
        <f t="shared" si="33"/>
        <v>0.375</v>
      </c>
      <c r="AC52">
        <v>0</v>
      </c>
      <c r="AD52" s="8">
        <v>0</v>
      </c>
      <c r="AE52">
        <f>Gameweek_8</f>
        <v>19</v>
      </c>
      <c r="AF52" s="6">
        <f t="shared" si="34"/>
        <v>0</v>
      </c>
      <c r="AH52" s="25" t="s">
        <v>36</v>
      </c>
      <c r="AI52" t="s">
        <v>153</v>
      </c>
      <c r="AJ52">
        <v>0</v>
      </c>
      <c r="AK52" s="7">
        <f t="shared" si="32"/>
        <v>0</v>
      </c>
      <c r="AL52">
        <v>2</v>
      </c>
      <c r="AM52" s="6">
        <f t="shared" si="35"/>
        <v>0.25</v>
      </c>
      <c r="AN52">
        <v>0</v>
      </c>
      <c r="AO52">
        <v>1</v>
      </c>
      <c r="AP52">
        <f>Gameweek_9</f>
        <v>19</v>
      </c>
      <c r="AQ52" s="6">
        <f t="shared" si="36"/>
        <v>-0.25</v>
      </c>
      <c r="AS52" s="25" t="s">
        <v>5</v>
      </c>
      <c r="AT52" t="s">
        <v>150</v>
      </c>
      <c r="AU52">
        <v>0</v>
      </c>
      <c r="AV52" s="7">
        <f t="shared" si="37"/>
        <v>0</v>
      </c>
      <c r="AW52">
        <v>1</v>
      </c>
      <c r="AX52" s="6">
        <f t="shared" si="38"/>
        <v>0.125</v>
      </c>
      <c r="AY52">
        <v>0</v>
      </c>
      <c r="AZ52">
        <v>1</v>
      </c>
      <c r="BA52">
        <f>Gameweek_10</f>
        <v>19</v>
      </c>
      <c r="BB52" s="6">
        <f t="shared" si="39"/>
        <v>-0.125</v>
      </c>
      <c r="BD52" s="25" t="s">
        <v>53</v>
      </c>
      <c r="BE52" t="s">
        <v>162</v>
      </c>
      <c r="BF52">
        <v>0</v>
      </c>
      <c r="BG52" s="7">
        <f t="shared" si="11"/>
        <v>0</v>
      </c>
      <c r="BH52">
        <v>0</v>
      </c>
      <c r="BI52" s="6">
        <f t="shared" si="12"/>
        <v>0</v>
      </c>
      <c r="BJ52">
        <f t="shared" si="13"/>
        <v>1</v>
      </c>
      <c r="BK52">
        <v>0</v>
      </c>
      <c r="BL52">
        <f>Gameweek_11</f>
        <v>19</v>
      </c>
      <c r="BM52" s="6">
        <f t="shared" si="14"/>
        <v>0</v>
      </c>
      <c r="BO52" s="25" t="s">
        <v>205</v>
      </c>
      <c r="BP52" t="s">
        <v>163</v>
      </c>
      <c r="BQ52">
        <v>0</v>
      </c>
      <c r="BR52" s="7">
        <f t="shared" si="44"/>
        <v>0</v>
      </c>
      <c r="BT52" s="6">
        <f t="shared" si="45"/>
        <v>0</v>
      </c>
      <c r="BU52">
        <f t="shared" si="28"/>
        <v>0</v>
      </c>
      <c r="BV52">
        <v>0</v>
      </c>
      <c r="BW52">
        <f>Gameweek_12</f>
        <v>19</v>
      </c>
      <c r="BX52" s="6">
        <f t="shared" si="46"/>
        <v>0</v>
      </c>
      <c r="BZ52" s="25" t="s">
        <v>167</v>
      </c>
      <c r="CA52" t="s">
        <v>157</v>
      </c>
      <c r="CB52">
        <v>0</v>
      </c>
      <c r="CC52" s="7">
        <f t="shared" si="40"/>
        <v>0</v>
      </c>
      <c r="CD52">
        <v>0</v>
      </c>
      <c r="CE52" s="6">
        <f t="shared" si="41"/>
        <v>0</v>
      </c>
      <c r="CF52">
        <f t="shared" si="42"/>
        <v>0</v>
      </c>
      <c r="CG52">
        <v>0</v>
      </c>
      <c r="CH52">
        <f>Gameweek_13</f>
        <v>19</v>
      </c>
      <c r="CI52" s="6">
        <f t="shared" si="43"/>
        <v>0</v>
      </c>
      <c r="CK52" s="25" t="s">
        <v>167</v>
      </c>
      <c r="CL52" t="s">
        <v>157</v>
      </c>
      <c r="CM52">
        <v>0</v>
      </c>
      <c r="CN52" s="7">
        <f t="shared" si="21"/>
        <v>0</v>
      </c>
      <c r="CO52">
        <v>0</v>
      </c>
      <c r="CP52" s="6">
        <f t="shared" si="22"/>
        <v>0</v>
      </c>
      <c r="CQ52">
        <f t="shared" si="23"/>
        <v>0</v>
      </c>
      <c r="CR52">
        <v>0</v>
      </c>
      <c r="CS52">
        <f>Gameweek_13</f>
        <v>19</v>
      </c>
      <c r="CT52" s="6">
        <f t="shared" si="24"/>
        <v>0</v>
      </c>
    </row>
    <row r="53" spans="12:98" x14ac:dyDescent="0.2">
      <c r="L53" s="25" t="s">
        <v>65</v>
      </c>
      <c r="N53">
        <v>0</v>
      </c>
      <c r="O53" s="7">
        <f t="shared" si="0"/>
        <v>0</v>
      </c>
      <c r="P53" s="8">
        <v>1</v>
      </c>
      <c r="Q53" s="6">
        <f t="shared" si="1"/>
        <v>0.125</v>
      </c>
      <c r="R53" s="3">
        <v>0</v>
      </c>
      <c r="S53">
        <v>2</v>
      </c>
      <c r="T53">
        <f>Get_Color</f>
        <v>19</v>
      </c>
      <c r="U53" s="6">
        <f t="shared" si="2"/>
        <v>-0.25</v>
      </c>
      <c r="V53" s="6"/>
      <c r="W53" s="25" t="s">
        <v>143</v>
      </c>
      <c r="X53" t="s">
        <v>157</v>
      </c>
      <c r="Y53">
        <v>0</v>
      </c>
      <c r="Z53" s="7">
        <f t="shared" si="31"/>
        <v>0</v>
      </c>
      <c r="AA53">
        <v>1</v>
      </c>
      <c r="AB53" s="6">
        <f t="shared" si="33"/>
        <v>0.125</v>
      </c>
      <c r="AC53">
        <v>0</v>
      </c>
      <c r="AD53" s="8">
        <v>0</v>
      </c>
      <c r="AE53">
        <f>Gameweek_8</f>
        <v>19</v>
      </c>
      <c r="AF53" s="6">
        <f t="shared" si="34"/>
        <v>0</v>
      </c>
      <c r="AH53" s="25" t="s">
        <v>53</v>
      </c>
      <c r="AI53" t="s">
        <v>162</v>
      </c>
      <c r="AJ53">
        <v>0</v>
      </c>
      <c r="AK53" s="7">
        <f t="shared" si="32"/>
        <v>0</v>
      </c>
      <c r="AL53">
        <v>1</v>
      </c>
      <c r="AM53" s="6">
        <f t="shared" si="35"/>
        <v>0.125</v>
      </c>
      <c r="AN53">
        <v>0</v>
      </c>
      <c r="AO53">
        <v>0</v>
      </c>
      <c r="AP53">
        <f>Gameweek_9</f>
        <v>19</v>
      </c>
      <c r="AQ53" s="6">
        <f t="shared" si="36"/>
        <v>0</v>
      </c>
      <c r="AS53" s="25" t="s">
        <v>145</v>
      </c>
      <c r="AT53" t="s">
        <v>157</v>
      </c>
      <c r="AU53">
        <v>0</v>
      </c>
      <c r="AV53" s="7">
        <f t="shared" si="37"/>
        <v>0</v>
      </c>
      <c r="AW53">
        <v>1</v>
      </c>
      <c r="AX53" s="6">
        <f t="shared" si="38"/>
        <v>0.125</v>
      </c>
      <c r="AY53">
        <v>0</v>
      </c>
      <c r="AZ53">
        <v>1</v>
      </c>
      <c r="BA53">
        <f>Gameweek_10</f>
        <v>19</v>
      </c>
      <c r="BB53" s="6">
        <f t="shared" si="39"/>
        <v>-0.125</v>
      </c>
      <c r="BD53" s="25"/>
      <c r="BG53" s="7"/>
      <c r="BH53">
        <v>0</v>
      </c>
      <c r="BI53" s="6"/>
      <c r="BL53">
        <f>Gameweek_11</f>
        <v>19</v>
      </c>
      <c r="BM53" s="6"/>
      <c r="BO53" s="25" t="s">
        <v>5</v>
      </c>
      <c r="BP53" t="s">
        <v>150</v>
      </c>
      <c r="BQ53">
        <v>0</v>
      </c>
      <c r="BR53" s="7">
        <f t="shared" si="44"/>
        <v>0</v>
      </c>
      <c r="BS53">
        <v>4</v>
      </c>
      <c r="BT53" s="6">
        <f t="shared" si="45"/>
        <v>0.5</v>
      </c>
      <c r="BU53">
        <f t="shared" si="28"/>
        <v>0</v>
      </c>
      <c r="BV53">
        <v>8</v>
      </c>
      <c r="BW53">
        <f>Gameweek_12</f>
        <v>19</v>
      </c>
      <c r="BX53" s="6">
        <f t="shared" si="46"/>
        <v>-4</v>
      </c>
      <c r="BZ53" s="25" t="s">
        <v>60</v>
      </c>
      <c r="CA53" t="s">
        <v>157</v>
      </c>
      <c r="CB53">
        <v>0</v>
      </c>
      <c r="CC53" s="7">
        <f t="shared" si="40"/>
        <v>0</v>
      </c>
      <c r="CD53">
        <v>2</v>
      </c>
      <c r="CE53" s="6">
        <f t="shared" si="41"/>
        <v>0.25</v>
      </c>
      <c r="CF53">
        <f t="shared" si="42"/>
        <v>0</v>
      </c>
      <c r="CG53">
        <v>2</v>
      </c>
      <c r="CH53">
        <f>Gameweek_13</f>
        <v>19</v>
      </c>
      <c r="CI53" s="6">
        <f t="shared" si="43"/>
        <v>-0.5</v>
      </c>
      <c r="CK53" s="25" t="s">
        <v>60</v>
      </c>
      <c r="CL53" t="s">
        <v>157</v>
      </c>
      <c r="CM53">
        <v>0</v>
      </c>
      <c r="CN53" s="7">
        <f t="shared" si="21"/>
        <v>0</v>
      </c>
      <c r="CO53">
        <v>2</v>
      </c>
      <c r="CP53" s="6">
        <f t="shared" si="22"/>
        <v>0.25</v>
      </c>
      <c r="CQ53">
        <f t="shared" si="23"/>
        <v>0</v>
      </c>
      <c r="CR53">
        <v>0</v>
      </c>
      <c r="CS53">
        <f>Gameweek_13</f>
        <v>19</v>
      </c>
      <c r="CT53" s="6">
        <f t="shared" si="24"/>
        <v>0</v>
      </c>
    </row>
    <row r="54" spans="12:98" x14ac:dyDescent="0.2">
      <c r="W54" s="2" t="s">
        <v>3</v>
      </c>
      <c r="X54" t="s">
        <v>148</v>
      </c>
      <c r="Y54">
        <v>0</v>
      </c>
      <c r="Z54" s="7">
        <f t="shared" si="31"/>
        <v>0</v>
      </c>
      <c r="AA54">
        <v>6</v>
      </c>
      <c r="AB54" s="6">
        <f t="shared" si="33"/>
        <v>0.75</v>
      </c>
      <c r="AC54">
        <v>1</v>
      </c>
      <c r="AD54" s="8">
        <v>1</v>
      </c>
      <c r="AE54">
        <f>Gameweek_8</f>
        <v>6</v>
      </c>
      <c r="AF54" s="6">
        <f t="shared" si="34"/>
        <v>0.25</v>
      </c>
      <c r="AH54" s="25" t="s">
        <v>38</v>
      </c>
      <c r="AI54" t="s">
        <v>159</v>
      </c>
      <c r="AJ54">
        <v>0</v>
      </c>
      <c r="AK54" s="7">
        <f t="shared" si="32"/>
        <v>0</v>
      </c>
      <c r="AL54">
        <v>1</v>
      </c>
      <c r="AM54" s="6">
        <f t="shared" si="35"/>
        <v>0.125</v>
      </c>
      <c r="AN54">
        <v>0</v>
      </c>
      <c r="AO54">
        <v>0</v>
      </c>
      <c r="AP54">
        <f>Gameweek_9</f>
        <v>19</v>
      </c>
      <c r="AQ54" s="6">
        <f t="shared" si="36"/>
        <v>0</v>
      </c>
      <c r="AS54" s="25" t="s">
        <v>59</v>
      </c>
      <c r="AT54" t="s">
        <v>163</v>
      </c>
      <c r="AU54">
        <v>0</v>
      </c>
      <c r="AV54" s="7">
        <f t="shared" si="37"/>
        <v>0</v>
      </c>
      <c r="AW54">
        <v>1</v>
      </c>
      <c r="AX54" s="6">
        <f t="shared" si="38"/>
        <v>0.125</v>
      </c>
      <c r="AY54">
        <v>0</v>
      </c>
      <c r="AZ54">
        <v>2</v>
      </c>
      <c r="BA54">
        <f>Gameweek_10</f>
        <v>19</v>
      </c>
      <c r="BB54" s="6">
        <f t="shared" si="39"/>
        <v>-0.25</v>
      </c>
      <c r="BD54" s="25" t="s">
        <v>203</v>
      </c>
      <c r="BE54" t="s">
        <v>161</v>
      </c>
      <c r="BF54">
        <v>0</v>
      </c>
      <c r="BG54" s="7">
        <f t="shared" ref="BG54:BG65" si="47">(BF54/9)</f>
        <v>0</v>
      </c>
      <c r="BH54">
        <v>1</v>
      </c>
      <c r="BI54" s="6">
        <f t="shared" ref="BI54:BI65" si="48">BH54/8+BG54</f>
        <v>0.125</v>
      </c>
      <c r="BJ54">
        <f t="shared" ref="BJ54:BJ65" si="49">VLOOKUP(BL54,BJ$83:BK$87,2)</f>
        <v>1</v>
      </c>
      <c r="BK54">
        <v>1</v>
      </c>
      <c r="BL54">
        <f>Gameweek_11</f>
        <v>19</v>
      </c>
      <c r="BM54" s="6">
        <f t="shared" ref="BM54:BM65" si="50">(BJ54-BI54)*BK54</f>
        <v>0.875</v>
      </c>
      <c r="BO54" s="25" t="s">
        <v>145</v>
      </c>
      <c r="BP54" t="s">
        <v>157</v>
      </c>
      <c r="BQ54">
        <v>0</v>
      </c>
      <c r="BR54" s="7">
        <f t="shared" si="44"/>
        <v>0</v>
      </c>
      <c r="BS54">
        <v>1</v>
      </c>
      <c r="BT54" s="6">
        <f t="shared" si="45"/>
        <v>0.125</v>
      </c>
      <c r="BU54">
        <f t="shared" si="28"/>
        <v>0</v>
      </c>
      <c r="BV54">
        <v>8</v>
      </c>
      <c r="BW54">
        <f>Gameweek_12</f>
        <v>19</v>
      </c>
      <c r="BX54" s="6">
        <f t="shared" si="46"/>
        <v>-1</v>
      </c>
      <c r="BZ54" s="25" t="s">
        <v>138</v>
      </c>
      <c r="CA54" t="s">
        <v>157</v>
      </c>
      <c r="CB54">
        <v>0</v>
      </c>
      <c r="CC54" s="7">
        <f t="shared" si="40"/>
        <v>0</v>
      </c>
      <c r="CD54">
        <v>0</v>
      </c>
      <c r="CE54" s="6">
        <f t="shared" si="41"/>
        <v>0</v>
      </c>
      <c r="CF54">
        <f t="shared" si="42"/>
        <v>0</v>
      </c>
      <c r="CG54">
        <v>1</v>
      </c>
      <c r="CH54">
        <f>Gameweek_13</f>
        <v>19</v>
      </c>
      <c r="CI54" s="6">
        <f t="shared" si="43"/>
        <v>0</v>
      </c>
      <c r="CK54" s="25" t="s">
        <v>138</v>
      </c>
      <c r="CL54" t="s">
        <v>157</v>
      </c>
      <c r="CM54">
        <v>0</v>
      </c>
      <c r="CN54" s="7">
        <f t="shared" si="21"/>
        <v>0</v>
      </c>
      <c r="CO54">
        <v>0</v>
      </c>
      <c r="CP54" s="6">
        <f t="shared" si="22"/>
        <v>0</v>
      </c>
      <c r="CQ54">
        <f t="shared" si="23"/>
        <v>0</v>
      </c>
      <c r="CR54">
        <v>0</v>
      </c>
      <c r="CS54">
        <f>Gameweek_13</f>
        <v>19</v>
      </c>
      <c r="CT54" s="6">
        <f t="shared" si="24"/>
        <v>0</v>
      </c>
    </row>
    <row r="55" spans="12:98" x14ac:dyDescent="0.2">
      <c r="Q55" t="s">
        <v>30</v>
      </c>
      <c r="R55">
        <f>SUMIF(T6:T20,6,S6:S20)</f>
        <v>40</v>
      </c>
      <c r="T55" t="s">
        <v>66</v>
      </c>
      <c r="U55" s="1">
        <f>SUM(U6:U53)</f>
        <v>2.3611111111111107</v>
      </c>
      <c r="W55" s="2" t="s">
        <v>2</v>
      </c>
      <c r="X55" t="s">
        <v>153</v>
      </c>
      <c r="Y55">
        <v>0</v>
      </c>
      <c r="Z55" s="7">
        <f t="shared" si="31"/>
        <v>0</v>
      </c>
      <c r="AA55">
        <v>3</v>
      </c>
      <c r="AB55" s="6">
        <f t="shared" si="33"/>
        <v>0.375</v>
      </c>
      <c r="AC55">
        <v>1</v>
      </c>
      <c r="AD55" s="8">
        <v>2</v>
      </c>
      <c r="AE55">
        <f>Gameweek_8</f>
        <v>6</v>
      </c>
      <c r="AF55" s="6">
        <f t="shared" si="34"/>
        <v>1.25</v>
      </c>
      <c r="AH55" s="25" t="s">
        <v>34</v>
      </c>
      <c r="AI55" t="s">
        <v>155</v>
      </c>
      <c r="AJ55">
        <v>0</v>
      </c>
      <c r="AK55" s="7">
        <f t="shared" si="32"/>
        <v>0</v>
      </c>
      <c r="AL55">
        <v>2</v>
      </c>
      <c r="AM55" s="6">
        <f t="shared" si="35"/>
        <v>0.25</v>
      </c>
      <c r="AN55">
        <v>0</v>
      </c>
      <c r="AO55">
        <v>0</v>
      </c>
      <c r="AP55">
        <f>Gameweek_9</f>
        <v>19</v>
      </c>
      <c r="AQ55" s="6">
        <f t="shared" si="36"/>
        <v>0</v>
      </c>
      <c r="AS55" s="25" t="s">
        <v>205</v>
      </c>
      <c r="AT55" t="s">
        <v>163</v>
      </c>
      <c r="AU55">
        <v>0</v>
      </c>
      <c r="AV55" s="7">
        <f t="shared" si="37"/>
        <v>0</v>
      </c>
      <c r="AW55">
        <v>1</v>
      </c>
      <c r="AX55" s="6">
        <f t="shared" si="38"/>
        <v>0.125</v>
      </c>
      <c r="AY55">
        <v>0</v>
      </c>
      <c r="AZ55">
        <v>2</v>
      </c>
      <c r="BA55">
        <f>Gameweek_10</f>
        <v>19</v>
      </c>
      <c r="BB55" s="6">
        <f t="shared" si="39"/>
        <v>-0.25</v>
      </c>
      <c r="BD55" s="25" t="s">
        <v>205</v>
      </c>
      <c r="BE55" t="s">
        <v>163</v>
      </c>
      <c r="BF55">
        <v>0</v>
      </c>
      <c r="BG55" s="7">
        <f t="shared" si="47"/>
        <v>0</v>
      </c>
      <c r="BH55">
        <v>1</v>
      </c>
      <c r="BI55" s="6">
        <f t="shared" si="48"/>
        <v>0.125</v>
      </c>
      <c r="BJ55">
        <f t="shared" si="49"/>
        <v>1</v>
      </c>
      <c r="BK55">
        <v>2</v>
      </c>
      <c r="BL55">
        <f>Gameweek_11</f>
        <v>19</v>
      </c>
      <c r="BM55" s="6">
        <f t="shared" si="50"/>
        <v>1.75</v>
      </c>
      <c r="BO55" s="25" t="s">
        <v>35</v>
      </c>
      <c r="BP55" t="s">
        <v>154</v>
      </c>
      <c r="BQ55">
        <v>0</v>
      </c>
      <c r="BR55" s="7">
        <f t="shared" si="44"/>
        <v>0</v>
      </c>
      <c r="BS55">
        <v>2</v>
      </c>
      <c r="BT55" s="6">
        <f t="shared" si="45"/>
        <v>0.25</v>
      </c>
      <c r="BU55">
        <f t="shared" si="28"/>
        <v>0</v>
      </c>
      <c r="BV55">
        <v>2</v>
      </c>
      <c r="BW55">
        <f>Gameweek_12</f>
        <v>19</v>
      </c>
      <c r="BX55" s="6">
        <f t="shared" si="46"/>
        <v>-0.5</v>
      </c>
      <c r="BZ55" s="25" t="s">
        <v>56</v>
      </c>
      <c r="CA55" t="s">
        <v>157</v>
      </c>
      <c r="CB55">
        <v>0</v>
      </c>
      <c r="CC55" s="7">
        <f t="shared" si="40"/>
        <v>0</v>
      </c>
      <c r="CD55">
        <v>0</v>
      </c>
      <c r="CE55" s="6">
        <f t="shared" si="41"/>
        <v>0</v>
      </c>
      <c r="CF55">
        <f t="shared" si="42"/>
        <v>0</v>
      </c>
      <c r="CG55">
        <v>2</v>
      </c>
      <c r="CH55">
        <f>Gameweek_13</f>
        <v>19</v>
      </c>
      <c r="CI55" s="6">
        <f t="shared" si="43"/>
        <v>0</v>
      </c>
      <c r="CK55" s="25" t="s">
        <v>56</v>
      </c>
      <c r="CL55" t="s">
        <v>157</v>
      </c>
      <c r="CM55">
        <v>0</v>
      </c>
      <c r="CN55" s="7">
        <f t="shared" si="21"/>
        <v>0</v>
      </c>
      <c r="CO55">
        <v>0</v>
      </c>
      <c r="CP55" s="6">
        <f t="shared" si="22"/>
        <v>0</v>
      </c>
      <c r="CQ55">
        <f t="shared" si="23"/>
        <v>0</v>
      </c>
      <c r="CR55">
        <v>0</v>
      </c>
      <c r="CS55">
        <f>Gameweek_13</f>
        <v>19</v>
      </c>
      <c r="CT55" s="6">
        <f t="shared" si="24"/>
        <v>0</v>
      </c>
    </row>
    <row r="56" spans="12:98" x14ac:dyDescent="0.2">
      <c r="Q56" t="s">
        <v>29</v>
      </c>
      <c r="R56">
        <f>(SUMIF(T6:T20,33,S6:S20))</f>
        <v>1</v>
      </c>
      <c r="W56" s="2" t="s">
        <v>7</v>
      </c>
      <c r="X56" t="s">
        <v>152</v>
      </c>
      <c r="Y56">
        <v>0</v>
      </c>
      <c r="Z56" s="7">
        <f t="shared" si="31"/>
        <v>0</v>
      </c>
      <c r="AA56">
        <v>0</v>
      </c>
      <c r="AB56" s="6">
        <f t="shared" si="33"/>
        <v>0</v>
      </c>
      <c r="AC56">
        <v>1</v>
      </c>
      <c r="AD56" s="8">
        <v>2</v>
      </c>
      <c r="AE56">
        <f>Gameweek_8</f>
        <v>6</v>
      </c>
      <c r="AF56" s="6">
        <f t="shared" si="34"/>
        <v>2</v>
      </c>
      <c r="AH56" s="25" t="s">
        <v>57</v>
      </c>
      <c r="AI56" t="s">
        <v>155</v>
      </c>
      <c r="AJ56">
        <v>0</v>
      </c>
      <c r="AK56" s="7">
        <f t="shared" si="32"/>
        <v>0</v>
      </c>
      <c r="AL56">
        <v>2</v>
      </c>
      <c r="AM56" s="6">
        <f t="shared" si="35"/>
        <v>0.25</v>
      </c>
      <c r="AN56">
        <v>0</v>
      </c>
      <c r="AO56">
        <v>0</v>
      </c>
      <c r="AP56">
        <f>Gameweek_9</f>
        <v>19</v>
      </c>
      <c r="AQ56" s="6">
        <f t="shared" si="36"/>
        <v>0</v>
      </c>
      <c r="AS56" s="25" t="s">
        <v>43</v>
      </c>
      <c r="AT56" t="s">
        <v>158</v>
      </c>
      <c r="AU56">
        <v>0</v>
      </c>
      <c r="AV56" s="7">
        <f t="shared" si="37"/>
        <v>0</v>
      </c>
      <c r="AW56">
        <v>2</v>
      </c>
      <c r="AX56" s="6">
        <f t="shared" si="38"/>
        <v>0.25</v>
      </c>
      <c r="AY56">
        <v>0</v>
      </c>
      <c r="AZ56">
        <v>2</v>
      </c>
      <c r="BA56">
        <f>Gameweek_10</f>
        <v>19</v>
      </c>
      <c r="BB56" s="6">
        <f t="shared" si="39"/>
        <v>-0.5</v>
      </c>
      <c r="BD56" s="25" t="s">
        <v>5</v>
      </c>
      <c r="BE56" t="s">
        <v>150</v>
      </c>
      <c r="BF56">
        <v>0</v>
      </c>
      <c r="BG56" s="7">
        <f t="shared" si="47"/>
        <v>0</v>
      </c>
      <c r="BH56">
        <v>2</v>
      </c>
      <c r="BI56" s="6">
        <f t="shared" si="48"/>
        <v>0.25</v>
      </c>
      <c r="BJ56">
        <f t="shared" si="49"/>
        <v>1</v>
      </c>
      <c r="BK56">
        <v>2</v>
      </c>
      <c r="BL56">
        <f>Gameweek_11</f>
        <v>19</v>
      </c>
      <c r="BM56" s="6">
        <f t="shared" si="50"/>
        <v>1.5</v>
      </c>
      <c r="BO56" s="25" t="s">
        <v>45</v>
      </c>
      <c r="BP56" t="s">
        <v>150</v>
      </c>
      <c r="BQ56">
        <v>0</v>
      </c>
      <c r="BR56" s="7">
        <f t="shared" si="44"/>
        <v>0</v>
      </c>
      <c r="BS56">
        <v>5</v>
      </c>
      <c r="BT56" s="6">
        <f t="shared" si="45"/>
        <v>0.625</v>
      </c>
      <c r="BU56">
        <f t="shared" si="28"/>
        <v>0</v>
      </c>
      <c r="BV56">
        <v>15</v>
      </c>
      <c r="BW56">
        <f>Gameweek_12</f>
        <v>19</v>
      </c>
      <c r="BX56" s="6">
        <f t="shared" si="46"/>
        <v>-9.375</v>
      </c>
      <c r="BZ56" s="25" t="s">
        <v>62</v>
      </c>
      <c r="CA56" t="s">
        <v>157</v>
      </c>
      <c r="CB56">
        <v>0</v>
      </c>
      <c r="CC56" s="7">
        <f t="shared" si="40"/>
        <v>0</v>
      </c>
      <c r="CD56">
        <v>0</v>
      </c>
      <c r="CE56" s="6">
        <f t="shared" si="41"/>
        <v>0</v>
      </c>
      <c r="CF56">
        <f t="shared" si="42"/>
        <v>0</v>
      </c>
      <c r="CG56">
        <v>2</v>
      </c>
      <c r="CH56">
        <f>Gameweek_13</f>
        <v>19</v>
      </c>
      <c r="CI56" s="6">
        <f t="shared" si="43"/>
        <v>0</v>
      </c>
      <c r="CK56" s="25" t="s">
        <v>62</v>
      </c>
      <c r="CL56" t="s">
        <v>157</v>
      </c>
      <c r="CM56">
        <v>0</v>
      </c>
      <c r="CN56" s="7">
        <f t="shared" si="21"/>
        <v>0</v>
      </c>
      <c r="CO56">
        <v>0</v>
      </c>
      <c r="CP56" s="6">
        <f t="shared" si="22"/>
        <v>0</v>
      </c>
      <c r="CQ56">
        <f t="shared" si="23"/>
        <v>0</v>
      </c>
      <c r="CR56">
        <v>0</v>
      </c>
      <c r="CS56">
        <f>Gameweek_13</f>
        <v>19</v>
      </c>
      <c r="CT56" s="6">
        <f t="shared" si="24"/>
        <v>0</v>
      </c>
    </row>
    <row r="57" spans="12:98" ht="32" x14ac:dyDescent="0.2">
      <c r="Q57" t="s">
        <v>31</v>
      </c>
      <c r="R57">
        <f>R55+2*R56</f>
        <v>42</v>
      </c>
      <c r="T57" s="26" t="s">
        <v>175</v>
      </c>
      <c r="U57">
        <f>SUMIF(T11:T52,40,S11:S52)</f>
        <v>0</v>
      </c>
      <c r="W57" s="2" t="s">
        <v>6</v>
      </c>
      <c r="X57" t="s">
        <v>152</v>
      </c>
      <c r="Y57">
        <v>0</v>
      </c>
      <c r="Z57" s="7">
        <f t="shared" si="31"/>
        <v>0</v>
      </c>
      <c r="AA57">
        <v>0</v>
      </c>
      <c r="AB57" s="6">
        <f t="shared" si="33"/>
        <v>0</v>
      </c>
      <c r="AC57">
        <v>1</v>
      </c>
      <c r="AD57" s="8">
        <v>2</v>
      </c>
      <c r="AE57">
        <f>Gameweek_8</f>
        <v>6</v>
      </c>
      <c r="AF57" s="6">
        <f t="shared" si="34"/>
        <v>2</v>
      </c>
      <c r="AH57" s="25" t="s">
        <v>141</v>
      </c>
      <c r="AI57" t="s">
        <v>156</v>
      </c>
      <c r="AJ57">
        <v>0</v>
      </c>
      <c r="AK57" s="7">
        <f t="shared" si="32"/>
        <v>0</v>
      </c>
      <c r="AL57">
        <v>1</v>
      </c>
      <c r="AM57" s="6">
        <f t="shared" si="35"/>
        <v>0.125</v>
      </c>
      <c r="AN57">
        <v>0</v>
      </c>
      <c r="AO57">
        <v>0</v>
      </c>
      <c r="AP57">
        <f>Gameweek_9</f>
        <v>19</v>
      </c>
      <c r="AQ57" s="6">
        <f t="shared" si="36"/>
        <v>0</v>
      </c>
      <c r="AS57" s="25" t="s">
        <v>45</v>
      </c>
      <c r="AT57" t="s">
        <v>150</v>
      </c>
      <c r="AU57">
        <v>0</v>
      </c>
      <c r="AV57" s="7">
        <f t="shared" si="37"/>
        <v>0</v>
      </c>
      <c r="AW57">
        <v>5</v>
      </c>
      <c r="AX57" s="6">
        <f t="shared" si="38"/>
        <v>0.625</v>
      </c>
      <c r="AY57">
        <v>0</v>
      </c>
      <c r="AZ57">
        <v>1</v>
      </c>
      <c r="BA57">
        <f>Gameweek_10</f>
        <v>19</v>
      </c>
      <c r="BB57" s="6">
        <f t="shared" si="39"/>
        <v>-0.625</v>
      </c>
      <c r="BD57" s="25" t="s">
        <v>145</v>
      </c>
      <c r="BE57" t="s">
        <v>157</v>
      </c>
      <c r="BF57">
        <v>0</v>
      </c>
      <c r="BG57" s="7">
        <f t="shared" si="47"/>
        <v>0</v>
      </c>
      <c r="BH57">
        <v>1</v>
      </c>
      <c r="BI57" s="6">
        <f t="shared" si="48"/>
        <v>0.125</v>
      </c>
      <c r="BJ57">
        <f t="shared" si="49"/>
        <v>1</v>
      </c>
      <c r="BK57">
        <v>9</v>
      </c>
      <c r="BL57">
        <f>Gameweek_11</f>
        <v>19</v>
      </c>
      <c r="BM57" s="6">
        <f t="shared" si="50"/>
        <v>7.875</v>
      </c>
      <c r="BO57" s="25" t="s">
        <v>144</v>
      </c>
      <c r="BP57" t="s">
        <v>157</v>
      </c>
      <c r="BQ57">
        <v>0</v>
      </c>
      <c r="BR57" s="7">
        <f t="shared" si="44"/>
        <v>0</v>
      </c>
      <c r="BS57">
        <v>3</v>
      </c>
      <c r="BT57" s="6">
        <f t="shared" si="45"/>
        <v>0.375</v>
      </c>
      <c r="BU57">
        <f t="shared" si="28"/>
        <v>0</v>
      </c>
      <c r="BV57">
        <v>1</v>
      </c>
      <c r="BW57">
        <f>Gameweek_12</f>
        <v>19</v>
      </c>
      <c r="BX57" s="6">
        <f t="shared" si="46"/>
        <v>-0.375</v>
      </c>
      <c r="BZ57" s="25" t="s">
        <v>145</v>
      </c>
      <c r="CA57" t="s">
        <v>157</v>
      </c>
      <c r="CB57">
        <v>0</v>
      </c>
      <c r="CC57" s="7">
        <f t="shared" si="40"/>
        <v>0</v>
      </c>
      <c r="CD57">
        <v>1</v>
      </c>
      <c r="CE57" s="6">
        <f t="shared" si="41"/>
        <v>0.125</v>
      </c>
      <c r="CF57">
        <f t="shared" si="42"/>
        <v>0</v>
      </c>
      <c r="CG57">
        <v>2</v>
      </c>
      <c r="CH57">
        <f>Gameweek_13</f>
        <v>19</v>
      </c>
      <c r="CI57" s="6">
        <f t="shared" si="43"/>
        <v>-0.25</v>
      </c>
      <c r="CK57" s="25" t="s">
        <v>145</v>
      </c>
      <c r="CL57" t="s">
        <v>157</v>
      </c>
      <c r="CM57">
        <v>0</v>
      </c>
      <c r="CN57" s="7">
        <f t="shared" si="21"/>
        <v>0</v>
      </c>
      <c r="CO57">
        <v>1</v>
      </c>
      <c r="CP57" s="6">
        <f t="shared" si="22"/>
        <v>0.125</v>
      </c>
      <c r="CQ57">
        <f t="shared" si="23"/>
        <v>0</v>
      </c>
      <c r="CR57">
        <v>0</v>
      </c>
      <c r="CS57">
        <f>Gameweek_13</f>
        <v>19</v>
      </c>
      <c r="CT57" s="6">
        <f t="shared" si="24"/>
        <v>0</v>
      </c>
    </row>
    <row r="58" spans="12:98" ht="32" x14ac:dyDescent="0.2">
      <c r="Q58" t="s">
        <v>33</v>
      </c>
      <c r="R58">
        <f>SUMIF(T6:T20,3,S6:S20)</f>
        <v>6</v>
      </c>
      <c r="T58" s="26" t="s">
        <v>176</v>
      </c>
      <c r="U58">
        <f>R55+R56</f>
        <v>41</v>
      </c>
      <c r="W58" s="2" t="s">
        <v>42</v>
      </c>
      <c r="X58" t="s">
        <v>157</v>
      </c>
      <c r="Y58">
        <v>0</v>
      </c>
      <c r="Z58" s="7">
        <f t="shared" si="31"/>
        <v>0</v>
      </c>
      <c r="AA58">
        <v>4</v>
      </c>
      <c r="AB58" s="6">
        <f t="shared" si="33"/>
        <v>0.5</v>
      </c>
      <c r="AC58">
        <v>1</v>
      </c>
      <c r="AD58" s="8">
        <v>6</v>
      </c>
      <c r="AE58">
        <f>Gameweek_8</f>
        <v>6</v>
      </c>
      <c r="AF58" s="6">
        <f t="shared" si="34"/>
        <v>3</v>
      </c>
      <c r="AH58" s="25" t="s">
        <v>168</v>
      </c>
      <c r="AI58" t="s">
        <v>155</v>
      </c>
      <c r="AJ58">
        <v>0</v>
      </c>
      <c r="AK58" s="7">
        <f t="shared" si="32"/>
        <v>0</v>
      </c>
      <c r="AL58">
        <v>2</v>
      </c>
      <c r="AM58" s="6">
        <f t="shared" si="35"/>
        <v>0.25</v>
      </c>
      <c r="AN58">
        <v>0</v>
      </c>
      <c r="AO58">
        <v>0</v>
      </c>
      <c r="AP58">
        <f>Gameweek_9</f>
        <v>19</v>
      </c>
      <c r="AQ58" s="6">
        <f t="shared" si="36"/>
        <v>0</v>
      </c>
      <c r="AS58" s="25" t="s">
        <v>144</v>
      </c>
      <c r="AT58" t="s">
        <v>157</v>
      </c>
      <c r="AU58">
        <v>0</v>
      </c>
      <c r="AV58" s="7">
        <f t="shared" si="37"/>
        <v>0</v>
      </c>
      <c r="AW58">
        <v>3</v>
      </c>
      <c r="AX58" s="6">
        <f t="shared" si="38"/>
        <v>0.375</v>
      </c>
      <c r="AY58">
        <v>0</v>
      </c>
      <c r="AZ58">
        <v>2</v>
      </c>
      <c r="BA58">
        <f>Gameweek_10</f>
        <v>19</v>
      </c>
      <c r="BB58" s="6">
        <f t="shared" si="39"/>
        <v>-0.75</v>
      </c>
      <c r="BD58" s="25" t="s">
        <v>35</v>
      </c>
      <c r="BE58" t="s">
        <v>154</v>
      </c>
      <c r="BF58">
        <v>0</v>
      </c>
      <c r="BG58" s="7">
        <f t="shared" si="47"/>
        <v>0</v>
      </c>
      <c r="BH58">
        <v>1</v>
      </c>
      <c r="BI58" s="6">
        <f t="shared" si="48"/>
        <v>0.125</v>
      </c>
      <c r="BJ58">
        <f t="shared" si="49"/>
        <v>1</v>
      </c>
      <c r="BK58">
        <v>2</v>
      </c>
      <c r="BL58">
        <f>Gameweek_11</f>
        <v>19</v>
      </c>
      <c r="BM58" s="6">
        <f t="shared" si="50"/>
        <v>1.75</v>
      </c>
      <c r="BO58" s="25" t="s">
        <v>173</v>
      </c>
      <c r="BP58" t="s">
        <v>158</v>
      </c>
      <c r="BQ58">
        <v>0</v>
      </c>
      <c r="BR58" s="7">
        <f t="shared" si="44"/>
        <v>0</v>
      </c>
      <c r="BS58">
        <v>1</v>
      </c>
      <c r="BT58" s="6">
        <f t="shared" si="45"/>
        <v>0.125</v>
      </c>
      <c r="BU58">
        <f t="shared" si="28"/>
        <v>0</v>
      </c>
      <c r="BV58">
        <v>0</v>
      </c>
      <c r="BW58">
        <f>Gameweek_12</f>
        <v>19</v>
      </c>
      <c r="BX58" s="6">
        <f t="shared" si="46"/>
        <v>0</v>
      </c>
      <c r="BZ58" s="25" t="s">
        <v>144</v>
      </c>
      <c r="CA58" t="s">
        <v>157</v>
      </c>
      <c r="CB58">
        <v>0</v>
      </c>
      <c r="CC58" s="7">
        <f t="shared" si="40"/>
        <v>0</v>
      </c>
      <c r="CD58">
        <v>2</v>
      </c>
      <c r="CE58" s="6">
        <f t="shared" si="41"/>
        <v>0.25</v>
      </c>
      <c r="CF58">
        <f t="shared" si="42"/>
        <v>0</v>
      </c>
      <c r="CG58">
        <v>0</v>
      </c>
      <c r="CH58">
        <f>Gameweek_13</f>
        <v>19</v>
      </c>
      <c r="CI58" s="6">
        <f t="shared" si="43"/>
        <v>0</v>
      </c>
      <c r="CK58" s="25" t="s">
        <v>144</v>
      </c>
      <c r="CL58" t="s">
        <v>157</v>
      </c>
      <c r="CM58">
        <v>0</v>
      </c>
      <c r="CN58" s="7">
        <f t="shared" si="21"/>
        <v>0</v>
      </c>
      <c r="CO58">
        <v>1</v>
      </c>
      <c r="CP58" s="6">
        <f t="shared" si="22"/>
        <v>0.125</v>
      </c>
      <c r="CQ58">
        <f t="shared" si="23"/>
        <v>0</v>
      </c>
      <c r="CR58">
        <v>0</v>
      </c>
      <c r="CS58">
        <f>Gameweek_13</f>
        <v>19</v>
      </c>
      <c r="CT58" s="6">
        <f t="shared" si="24"/>
        <v>0</v>
      </c>
    </row>
    <row r="59" spans="12:98" x14ac:dyDescent="0.2">
      <c r="W59" s="2" t="s">
        <v>14</v>
      </c>
      <c r="X59" t="s">
        <v>156</v>
      </c>
      <c r="Y59">
        <v>0</v>
      </c>
      <c r="Z59" s="7">
        <f t="shared" si="31"/>
        <v>0</v>
      </c>
      <c r="AA59">
        <v>4</v>
      </c>
      <c r="AB59" s="6">
        <f t="shared" si="33"/>
        <v>0.5</v>
      </c>
      <c r="AC59">
        <v>1</v>
      </c>
      <c r="AD59" s="8">
        <v>6</v>
      </c>
      <c r="AE59">
        <f>Gameweek_8</f>
        <v>6</v>
      </c>
      <c r="AF59" s="6">
        <f t="shared" si="34"/>
        <v>3</v>
      </c>
      <c r="AH59" s="25" t="s">
        <v>48</v>
      </c>
      <c r="AI59" t="s">
        <v>155</v>
      </c>
      <c r="AJ59">
        <v>0</v>
      </c>
      <c r="AK59" s="7">
        <f t="shared" si="32"/>
        <v>0</v>
      </c>
      <c r="AL59">
        <v>1</v>
      </c>
      <c r="AM59" s="6">
        <f t="shared" si="35"/>
        <v>0.125</v>
      </c>
      <c r="AN59">
        <v>0</v>
      </c>
      <c r="AO59">
        <v>0</v>
      </c>
      <c r="AP59">
        <f>Gameweek_9</f>
        <v>19</v>
      </c>
      <c r="AQ59" s="6">
        <f t="shared" si="36"/>
        <v>0</v>
      </c>
      <c r="AS59" s="25" t="s">
        <v>57</v>
      </c>
      <c r="AT59" t="s">
        <v>155</v>
      </c>
      <c r="AU59">
        <v>0</v>
      </c>
      <c r="AV59" s="7">
        <f t="shared" si="37"/>
        <v>0</v>
      </c>
      <c r="AW59">
        <v>1</v>
      </c>
      <c r="AX59" s="6">
        <f t="shared" si="38"/>
        <v>0.125</v>
      </c>
      <c r="AY59">
        <v>0</v>
      </c>
      <c r="AZ59">
        <v>6</v>
      </c>
      <c r="BA59">
        <f>Gameweek_10</f>
        <v>19</v>
      </c>
      <c r="BB59" s="6">
        <f t="shared" si="39"/>
        <v>-0.75</v>
      </c>
      <c r="BD59" s="25" t="s">
        <v>45</v>
      </c>
      <c r="BE59" t="s">
        <v>150</v>
      </c>
      <c r="BF59">
        <v>0</v>
      </c>
      <c r="BG59" s="7">
        <f t="shared" si="47"/>
        <v>0</v>
      </c>
      <c r="BH59">
        <v>5</v>
      </c>
      <c r="BI59" s="6">
        <f t="shared" si="48"/>
        <v>0.625</v>
      </c>
      <c r="BJ59">
        <f t="shared" si="49"/>
        <v>1</v>
      </c>
      <c r="BK59">
        <v>12</v>
      </c>
      <c r="BL59">
        <f>Gameweek_11</f>
        <v>19</v>
      </c>
      <c r="BM59" s="6">
        <f t="shared" si="50"/>
        <v>4.5</v>
      </c>
      <c r="BO59" s="25" t="s">
        <v>43</v>
      </c>
      <c r="BP59" t="s">
        <v>158</v>
      </c>
      <c r="BQ59">
        <v>0</v>
      </c>
      <c r="BR59" s="7">
        <f t="shared" si="44"/>
        <v>0</v>
      </c>
      <c r="BS59">
        <v>0</v>
      </c>
      <c r="BT59" s="6">
        <f t="shared" si="45"/>
        <v>0</v>
      </c>
      <c r="BU59">
        <f t="shared" si="28"/>
        <v>0</v>
      </c>
      <c r="BV59">
        <v>0</v>
      </c>
      <c r="BW59">
        <f>Gameweek_12</f>
        <v>19</v>
      </c>
      <c r="BX59" s="6">
        <f t="shared" si="46"/>
        <v>0</v>
      </c>
      <c r="BZ59" s="25" t="s">
        <v>36</v>
      </c>
      <c r="CA59" t="s">
        <v>153</v>
      </c>
      <c r="CB59">
        <v>0</v>
      </c>
      <c r="CC59" s="7">
        <f t="shared" si="40"/>
        <v>0</v>
      </c>
      <c r="CD59">
        <v>0</v>
      </c>
      <c r="CE59" s="6">
        <f t="shared" si="41"/>
        <v>0</v>
      </c>
      <c r="CF59">
        <f t="shared" si="42"/>
        <v>0</v>
      </c>
      <c r="CG59">
        <v>0</v>
      </c>
      <c r="CH59">
        <f>Gameweek_13</f>
        <v>19</v>
      </c>
      <c r="CI59" s="6">
        <f t="shared" si="43"/>
        <v>0</v>
      </c>
      <c r="CK59" s="25" t="s">
        <v>36</v>
      </c>
      <c r="CL59" t="s">
        <v>153</v>
      </c>
      <c r="CM59">
        <v>0</v>
      </c>
      <c r="CN59" s="7">
        <f t="shared" si="21"/>
        <v>0</v>
      </c>
      <c r="CO59">
        <v>0</v>
      </c>
      <c r="CP59" s="6">
        <f t="shared" si="22"/>
        <v>0</v>
      </c>
      <c r="CQ59">
        <f t="shared" si="23"/>
        <v>0</v>
      </c>
      <c r="CR59">
        <v>0</v>
      </c>
      <c r="CS59">
        <f>Gameweek_13</f>
        <v>19</v>
      </c>
      <c r="CT59" s="6">
        <f t="shared" si="24"/>
        <v>0</v>
      </c>
    </row>
    <row r="60" spans="12:98" x14ac:dyDescent="0.2">
      <c r="W60" s="2" t="s">
        <v>11</v>
      </c>
      <c r="X60" t="s">
        <v>156</v>
      </c>
      <c r="Y60">
        <v>0</v>
      </c>
      <c r="Z60" s="7">
        <f t="shared" si="31"/>
        <v>0</v>
      </c>
      <c r="AA60">
        <v>3</v>
      </c>
      <c r="AB60" s="6">
        <f t="shared" si="33"/>
        <v>0.375</v>
      </c>
      <c r="AC60">
        <v>1</v>
      </c>
      <c r="AD60" s="8">
        <v>5</v>
      </c>
      <c r="AE60">
        <f>Gameweek_8</f>
        <v>6</v>
      </c>
      <c r="AF60" s="6">
        <f t="shared" si="34"/>
        <v>3.125</v>
      </c>
      <c r="AH60" s="25" t="s">
        <v>170</v>
      </c>
      <c r="AI60" t="s">
        <v>171</v>
      </c>
      <c r="AJ60">
        <v>0</v>
      </c>
      <c r="AK60" s="7">
        <v>0</v>
      </c>
      <c r="AL60">
        <v>2</v>
      </c>
      <c r="AM60" s="6">
        <f t="shared" si="35"/>
        <v>0.25</v>
      </c>
      <c r="AN60">
        <v>0</v>
      </c>
      <c r="AO60">
        <v>-1</v>
      </c>
      <c r="AP60">
        <f>Gameweek_9</f>
        <v>19</v>
      </c>
      <c r="AQ60" s="6">
        <f t="shared" si="36"/>
        <v>0.25</v>
      </c>
      <c r="AS60" s="25" t="s">
        <v>142</v>
      </c>
      <c r="AT60" t="s">
        <v>160</v>
      </c>
      <c r="AU60">
        <v>0</v>
      </c>
      <c r="AV60" s="7">
        <f t="shared" si="37"/>
        <v>0</v>
      </c>
      <c r="AW60">
        <v>1</v>
      </c>
      <c r="AX60" s="6">
        <f t="shared" si="38"/>
        <v>0.125</v>
      </c>
      <c r="AY60">
        <v>0</v>
      </c>
      <c r="AZ60">
        <v>9</v>
      </c>
      <c r="BA60">
        <f>Gameweek_10</f>
        <v>19</v>
      </c>
      <c r="BB60" s="6">
        <f t="shared" si="39"/>
        <v>-1.125</v>
      </c>
      <c r="BD60" s="25" t="s">
        <v>144</v>
      </c>
      <c r="BE60" t="s">
        <v>157</v>
      </c>
      <c r="BF60">
        <v>0</v>
      </c>
      <c r="BG60" s="7">
        <f t="shared" si="47"/>
        <v>0</v>
      </c>
      <c r="BH60">
        <v>3</v>
      </c>
      <c r="BI60" s="6">
        <f t="shared" si="48"/>
        <v>0.375</v>
      </c>
      <c r="BJ60">
        <f t="shared" si="49"/>
        <v>1</v>
      </c>
      <c r="BK60">
        <v>3</v>
      </c>
      <c r="BL60">
        <f>Gameweek_11</f>
        <v>19</v>
      </c>
      <c r="BM60" s="6">
        <f t="shared" si="50"/>
        <v>1.875</v>
      </c>
      <c r="BO60" s="25" t="s">
        <v>137</v>
      </c>
      <c r="BP60" t="s">
        <v>156</v>
      </c>
      <c r="BQ60">
        <v>0</v>
      </c>
      <c r="BR60" s="7">
        <f t="shared" si="44"/>
        <v>0</v>
      </c>
      <c r="BS60">
        <v>0</v>
      </c>
      <c r="BT60" s="6">
        <f t="shared" si="45"/>
        <v>0</v>
      </c>
      <c r="BU60">
        <f t="shared" si="28"/>
        <v>0</v>
      </c>
      <c r="BV60">
        <v>0</v>
      </c>
      <c r="BW60">
        <f>Gameweek_12</f>
        <v>19</v>
      </c>
      <c r="BX60" s="6">
        <f t="shared" si="46"/>
        <v>0</v>
      </c>
      <c r="BZ60" s="25" t="s">
        <v>40</v>
      </c>
      <c r="CA60" t="s">
        <v>153</v>
      </c>
      <c r="CB60">
        <v>0</v>
      </c>
      <c r="CC60" s="7">
        <f t="shared" si="40"/>
        <v>0</v>
      </c>
      <c r="CD60">
        <v>0</v>
      </c>
      <c r="CE60" s="6">
        <f t="shared" si="41"/>
        <v>0</v>
      </c>
      <c r="CF60">
        <f t="shared" si="42"/>
        <v>0</v>
      </c>
      <c r="CG60">
        <v>0</v>
      </c>
      <c r="CH60">
        <f>Gameweek_13</f>
        <v>19</v>
      </c>
      <c r="CI60" s="6">
        <f t="shared" si="43"/>
        <v>0</v>
      </c>
      <c r="CK60" s="25" t="s">
        <v>233</v>
      </c>
      <c r="CL60" t="s">
        <v>234</v>
      </c>
      <c r="CM60">
        <v>0</v>
      </c>
      <c r="CN60" s="7">
        <f t="shared" si="21"/>
        <v>0</v>
      </c>
      <c r="CO60">
        <v>1</v>
      </c>
      <c r="CP60" s="6">
        <f t="shared" si="22"/>
        <v>0.125</v>
      </c>
      <c r="CQ60">
        <f t="shared" si="23"/>
        <v>0</v>
      </c>
      <c r="CR60">
        <v>9</v>
      </c>
      <c r="CS60">
        <f>Gameweek_13</f>
        <v>19</v>
      </c>
      <c r="CT60" s="6">
        <f t="shared" si="24"/>
        <v>-1.125</v>
      </c>
    </row>
    <row r="61" spans="12:98" x14ac:dyDescent="0.2">
      <c r="W61" s="2" t="s">
        <v>10</v>
      </c>
      <c r="X61" t="s">
        <v>149</v>
      </c>
      <c r="Y61">
        <v>0</v>
      </c>
      <c r="Z61" s="7">
        <f t="shared" si="31"/>
        <v>0</v>
      </c>
      <c r="AA61">
        <v>3</v>
      </c>
      <c r="AB61" s="6">
        <f t="shared" si="33"/>
        <v>0.375</v>
      </c>
      <c r="AC61">
        <v>1</v>
      </c>
      <c r="AD61" s="8">
        <v>6</v>
      </c>
      <c r="AE61">
        <f>Gameweek_8</f>
        <v>6</v>
      </c>
      <c r="AF61" s="6">
        <f t="shared" si="34"/>
        <v>3.75</v>
      </c>
      <c r="AH61" s="25" t="s">
        <v>40</v>
      </c>
      <c r="AI61" t="s">
        <v>153</v>
      </c>
      <c r="AJ61">
        <v>0</v>
      </c>
      <c r="AK61" s="7">
        <f>(AJ61/9)</f>
        <v>0</v>
      </c>
      <c r="AL61">
        <v>1</v>
      </c>
      <c r="AM61" s="6">
        <f t="shared" si="35"/>
        <v>0.125</v>
      </c>
      <c r="AN61">
        <v>0</v>
      </c>
      <c r="AO61">
        <v>-1</v>
      </c>
      <c r="AP61">
        <f>Gameweek_9</f>
        <v>19</v>
      </c>
      <c r="AQ61" s="6">
        <f t="shared" si="36"/>
        <v>0.125</v>
      </c>
      <c r="AS61" s="25" t="s">
        <v>47</v>
      </c>
      <c r="AT61" t="s">
        <v>160</v>
      </c>
      <c r="AU61">
        <v>0</v>
      </c>
      <c r="AV61" s="7">
        <f t="shared" si="37"/>
        <v>0</v>
      </c>
      <c r="AW61">
        <v>1</v>
      </c>
      <c r="AX61" s="6">
        <f t="shared" si="38"/>
        <v>0.125</v>
      </c>
      <c r="AY61">
        <v>0</v>
      </c>
      <c r="AZ61">
        <v>10</v>
      </c>
      <c r="BA61">
        <f>Gameweek_10</f>
        <v>19</v>
      </c>
      <c r="BB61" s="6">
        <f t="shared" si="39"/>
        <v>-1.25</v>
      </c>
      <c r="BD61" s="25" t="s">
        <v>173</v>
      </c>
      <c r="BE61" t="s">
        <v>158</v>
      </c>
      <c r="BF61">
        <v>0</v>
      </c>
      <c r="BG61" s="7">
        <f t="shared" si="47"/>
        <v>0</v>
      </c>
      <c r="BH61">
        <v>0</v>
      </c>
      <c r="BI61" s="6">
        <f t="shared" si="48"/>
        <v>0</v>
      </c>
      <c r="BJ61">
        <f t="shared" si="49"/>
        <v>1</v>
      </c>
      <c r="BK61">
        <v>1</v>
      </c>
      <c r="BL61">
        <f>Gameweek_11</f>
        <v>19</v>
      </c>
      <c r="BM61" s="6">
        <f t="shared" si="50"/>
        <v>1</v>
      </c>
      <c r="BO61" s="25" t="s">
        <v>212</v>
      </c>
      <c r="BP61" t="s">
        <v>149</v>
      </c>
      <c r="BQ61">
        <v>0</v>
      </c>
      <c r="BR61" s="7">
        <f t="shared" si="44"/>
        <v>0</v>
      </c>
      <c r="BS61">
        <v>1</v>
      </c>
      <c r="BT61" s="6">
        <f t="shared" si="45"/>
        <v>0.125</v>
      </c>
      <c r="BU61">
        <f t="shared" si="28"/>
        <v>0</v>
      </c>
      <c r="BV61">
        <v>5</v>
      </c>
      <c r="BW61">
        <f>Gameweek_12</f>
        <v>19</v>
      </c>
      <c r="BX61" s="6">
        <f t="shared" si="46"/>
        <v>-0.625</v>
      </c>
      <c r="BZ61" s="25" t="s">
        <v>2</v>
      </c>
      <c r="CA61" t="s">
        <v>153</v>
      </c>
      <c r="CB61">
        <v>0</v>
      </c>
      <c r="CC61" s="7">
        <f t="shared" si="40"/>
        <v>0</v>
      </c>
      <c r="CD61">
        <v>0</v>
      </c>
      <c r="CE61" s="6">
        <f t="shared" si="41"/>
        <v>0</v>
      </c>
      <c r="CF61">
        <f t="shared" si="42"/>
        <v>0</v>
      </c>
      <c r="CG61">
        <v>0</v>
      </c>
      <c r="CH61">
        <f>Gameweek_13</f>
        <v>19</v>
      </c>
      <c r="CI61" s="6">
        <f t="shared" si="43"/>
        <v>0</v>
      </c>
      <c r="CK61" s="25" t="s">
        <v>2</v>
      </c>
      <c r="CL61" t="s">
        <v>153</v>
      </c>
      <c r="CM61">
        <v>0</v>
      </c>
      <c r="CN61" s="7">
        <f t="shared" si="21"/>
        <v>0</v>
      </c>
      <c r="CO61">
        <v>0</v>
      </c>
      <c r="CP61" s="6">
        <f t="shared" si="22"/>
        <v>0</v>
      </c>
      <c r="CQ61">
        <f t="shared" si="23"/>
        <v>0</v>
      </c>
      <c r="CR61">
        <v>0</v>
      </c>
      <c r="CS61">
        <f>Gameweek_13</f>
        <v>19</v>
      </c>
      <c r="CT61" s="6">
        <f t="shared" si="24"/>
        <v>0</v>
      </c>
    </row>
    <row r="62" spans="12:98" x14ac:dyDescent="0.2">
      <c r="W62" s="22" t="s">
        <v>136</v>
      </c>
      <c r="X62" t="s">
        <v>154</v>
      </c>
      <c r="Y62">
        <v>0</v>
      </c>
      <c r="Z62" s="7">
        <f t="shared" si="31"/>
        <v>0</v>
      </c>
      <c r="AA62">
        <v>0</v>
      </c>
      <c r="AB62" s="6">
        <f t="shared" si="33"/>
        <v>0</v>
      </c>
      <c r="AC62">
        <v>2</v>
      </c>
      <c r="AD62" s="8">
        <v>9</v>
      </c>
      <c r="AE62">
        <f>Gameweek_8</f>
        <v>33</v>
      </c>
      <c r="AF62" s="6">
        <f t="shared" si="34"/>
        <v>18</v>
      </c>
      <c r="AH62" s="24" t="s">
        <v>174</v>
      </c>
      <c r="AJ62">
        <v>0</v>
      </c>
      <c r="AK62" s="7">
        <f>(AJ62/9)</f>
        <v>0</v>
      </c>
      <c r="AL62">
        <v>6</v>
      </c>
      <c r="AM62" s="6">
        <f t="shared" si="35"/>
        <v>0.75</v>
      </c>
      <c r="AN62">
        <v>0</v>
      </c>
      <c r="AO62">
        <v>-4</v>
      </c>
      <c r="AP62">
        <f>Gameweek_9</f>
        <v>40</v>
      </c>
      <c r="AQ62" s="6">
        <f t="shared" si="36"/>
        <v>3</v>
      </c>
      <c r="AS62" s="25" t="s">
        <v>127</v>
      </c>
      <c r="AT62" t="s">
        <v>155</v>
      </c>
      <c r="AU62">
        <v>0</v>
      </c>
      <c r="AV62" s="7">
        <f t="shared" si="37"/>
        <v>0</v>
      </c>
      <c r="AW62">
        <v>2</v>
      </c>
      <c r="AX62" s="6">
        <f t="shared" si="38"/>
        <v>0.25</v>
      </c>
      <c r="AY62">
        <v>0</v>
      </c>
      <c r="AZ62">
        <v>6</v>
      </c>
      <c r="BA62">
        <f>Gameweek_10</f>
        <v>19</v>
      </c>
      <c r="BB62" s="6">
        <f t="shared" si="39"/>
        <v>-1.5</v>
      </c>
      <c r="BD62" s="25" t="s">
        <v>43</v>
      </c>
      <c r="BE62" t="s">
        <v>158</v>
      </c>
      <c r="BF62">
        <v>0</v>
      </c>
      <c r="BG62" s="7">
        <f t="shared" si="47"/>
        <v>0</v>
      </c>
      <c r="BH62">
        <v>0</v>
      </c>
      <c r="BI62" s="6">
        <f t="shared" si="48"/>
        <v>0</v>
      </c>
      <c r="BJ62">
        <f t="shared" si="49"/>
        <v>1</v>
      </c>
      <c r="BK62">
        <v>2</v>
      </c>
      <c r="BL62">
        <f>Gameweek_11</f>
        <v>19</v>
      </c>
      <c r="BM62" s="6">
        <f t="shared" si="50"/>
        <v>2</v>
      </c>
      <c r="BO62" s="24" t="s">
        <v>174</v>
      </c>
      <c r="BQ62">
        <v>0</v>
      </c>
      <c r="BR62" s="7">
        <f t="shared" si="44"/>
        <v>0</v>
      </c>
      <c r="BS62">
        <v>0</v>
      </c>
      <c r="BT62" s="6">
        <f t="shared" si="45"/>
        <v>0</v>
      </c>
      <c r="BU62">
        <f t="shared" si="28"/>
        <v>0</v>
      </c>
      <c r="BV62">
        <v>0</v>
      </c>
      <c r="BW62">
        <f>Gameweek_12</f>
        <v>40</v>
      </c>
      <c r="BX62" s="6">
        <f t="shared" si="46"/>
        <v>0</v>
      </c>
      <c r="BZ62" s="4" t="s">
        <v>10</v>
      </c>
      <c r="CA62" t="s">
        <v>149</v>
      </c>
      <c r="CB62">
        <v>0</v>
      </c>
      <c r="CC62" s="7">
        <f t="shared" si="40"/>
        <v>0</v>
      </c>
      <c r="CD62">
        <v>4</v>
      </c>
      <c r="CE62" s="6">
        <f t="shared" si="41"/>
        <v>0.5</v>
      </c>
      <c r="CF62">
        <f t="shared" si="42"/>
        <v>0</v>
      </c>
      <c r="CG62">
        <v>0</v>
      </c>
      <c r="CH62">
        <f>Gameweek_13</f>
        <v>3</v>
      </c>
      <c r="CI62" s="6">
        <f t="shared" si="43"/>
        <v>0</v>
      </c>
      <c r="CK62" s="4" t="s">
        <v>10</v>
      </c>
      <c r="CL62" t="s">
        <v>149</v>
      </c>
      <c r="CM62">
        <v>0</v>
      </c>
      <c r="CN62" s="7">
        <f t="shared" si="21"/>
        <v>0</v>
      </c>
      <c r="CO62">
        <v>1</v>
      </c>
      <c r="CP62" s="6">
        <f t="shared" si="22"/>
        <v>0.125</v>
      </c>
      <c r="CQ62">
        <f t="shared" si="23"/>
        <v>0</v>
      </c>
      <c r="CR62">
        <v>0</v>
      </c>
      <c r="CS62">
        <f>Gameweek_13</f>
        <v>3</v>
      </c>
      <c r="CT62" s="6">
        <f t="shared" si="24"/>
        <v>0</v>
      </c>
    </row>
    <row r="63" spans="12:98" x14ac:dyDescent="0.2">
      <c r="AH63" s="25" t="s">
        <v>44</v>
      </c>
      <c r="AI63" t="s">
        <v>160</v>
      </c>
      <c r="AJ63">
        <v>0</v>
      </c>
      <c r="AK63" s="7">
        <f>(AJ63/9)</f>
        <v>0</v>
      </c>
      <c r="AM63" s="6">
        <f t="shared" si="35"/>
        <v>0</v>
      </c>
      <c r="AO63">
        <v>0</v>
      </c>
      <c r="AP63">
        <f>Gameweek_9</f>
        <v>19</v>
      </c>
      <c r="AQ63" s="6">
        <f t="shared" si="36"/>
        <v>0</v>
      </c>
      <c r="AS63" s="24" t="s">
        <v>174</v>
      </c>
      <c r="AU63">
        <v>0</v>
      </c>
      <c r="AV63" s="7">
        <f t="shared" si="37"/>
        <v>0</v>
      </c>
      <c r="AW63">
        <v>0</v>
      </c>
      <c r="AX63" s="6">
        <f t="shared" si="38"/>
        <v>0</v>
      </c>
      <c r="AY63">
        <v>1</v>
      </c>
      <c r="AZ63">
        <v>-4</v>
      </c>
      <c r="BA63">
        <f>Gameweek_10</f>
        <v>40</v>
      </c>
      <c r="BB63" s="6">
        <f t="shared" si="39"/>
        <v>-4</v>
      </c>
      <c r="BD63" s="25" t="s">
        <v>137</v>
      </c>
      <c r="BE63" t="s">
        <v>156</v>
      </c>
      <c r="BF63">
        <v>0</v>
      </c>
      <c r="BG63" s="7">
        <f t="shared" si="47"/>
        <v>0</v>
      </c>
      <c r="BH63">
        <v>0</v>
      </c>
      <c r="BI63" s="6">
        <f t="shared" si="48"/>
        <v>0</v>
      </c>
      <c r="BJ63">
        <f t="shared" si="49"/>
        <v>1</v>
      </c>
      <c r="BK63">
        <v>0</v>
      </c>
      <c r="BL63">
        <f>Gameweek_11</f>
        <v>19</v>
      </c>
      <c r="BM63" s="6">
        <f t="shared" si="50"/>
        <v>0</v>
      </c>
      <c r="BO63" s="25" t="s">
        <v>126</v>
      </c>
      <c r="BP63" t="s">
        <v>155</v>
      </c>
      <c r="BQ63">
        <v>0</v>
      </c>
      <c r="BR63" s="7">
        <f t="shared" si="44"/>
        <v>0</v>
      </c>
      <c r="BS63">
        <v>3</v>
      </c>
      <c r="BT63" s="6">
        <f t="shared" si="45"/>
        <v>0.375</v>
      </c>
      <c r="BU63">
        <f t="shared" si="28"/>
        <v>0</v>
      </c>
      <c r="BV63">
        <v>12</v>
      </c>
      <c r="BW63">
        <f>Gameweek_12</f>
        <v>19</v>
      </c>
      <c r="BX63" s="6">
        <f t="shared" si="46"/>
        <v>-4.5</v>
      </c>
      <c r="BZ63" s="25" t="s">
        <v>212</v>
      </c>
      <c r="CA63" t="s">
        <v>149</v>
      </c>
      <c r="CB63">
        <v>0</v>
      </c>
      <c r="CC63" s="7">
        <f t="shared" si="40"/>
        <v>0</v>
      </c>
      <c r="CD63">
        <v>1</v>
      </c>
      <c r="CE63" s="6">
        <f t="shared" si="41"/>
        <v>0.125</v>
      </c>
      <c r="CF63">
        <f t="shared" si="42"/>
        <v>0</v>
      </c>
      <c r="CG63">
        <v>2</v>
      </c>
      <c r="CH63">
        <f>Gameweek_13</f>
        <v>19</v>
      </c>
      <c r="CI63" s="6">
        <f t="shared" si="43"/>
        <v>-0.25</v>
      </c>
      <c r="CK63" s="25" t="s">
        <v>212</v>
      </c>
      <c r="CL63" t="s">
        <v>149</v>
      </c>
      <c r="CM63">
        <v>0</v>
      </c>
      <c r="CN63" s="7">
        <f t="shared" si="21"/>
        <v>0</v>
      </c>
      <c r="CO63">
        <v>0</v>
      </c>
      <c r="CP63" s="6">
        <f t="shared" si="22"/>
        <v>0</v>
      </c>
      <c r="CQ63">
        <f t="shared" si="23"/>
        <v>0</v>
      </c>
      <c r="CR63">
        <v>0</v>
      </c>
      <c r="CS63">
        <f>Gameweek_13</f>
        <v>19</v>
      </c>
      <c r="CT63" s="6">
        <f t="shared" si="24"/>
        <v>0</v>
      </c>
    </row>
    <row r="64" spans="12:98" x14ac:dyDescent="0.2">
      <c r="V64" s="1"/>
      <c r="AB64" t="s">
        <v>30</v>
      </c>
      <c r="AC64">
        <f>SUMIF(AE6:AE20,6,AD6:AD20)</f>
        <v>13</v>
      </c>
      <c r="AE64" t="s">
        <v>66</v>
      </c>
      <c r="AF64" s="1">
        <f>SUM(AF6:AF62)</f>
        <v>10.486111111111114</v>
      </c>
      <c r="AS64" s="25" t="s">
        <v>128</v>
      </c>
      <c r="AT64" t="s">
        <v>155</v>
      </c>
      <c r="AU64">
        <v>0</v>
      </c>
      <c r="AV64" s="7">
        <f t="shared" si="37"/>
        <v>0</v>
      </c>
      <c r="AW64">
        <v>3</v>
      </c>
      <c r="AX64" s="6">
        <f t="shared" si="38"/>
        <v>0.375</v>
      </c>
      <c r="AY64">
        <v>0</v>
      </c>
      <c r="AZ64">
        <v>0</v>
      </c>
      <c r="BA64">
        <f>Gameweek_10</f>
        <v>19</v>
      </c>
      <c r="BB64" s="6">
        <f t="shared" si="39"/>
        <v>0</v>
      </c>
      <c r="BD64" s="25" t="s">
        <v>212</v>
      </c>
      <c r="BE64" t="s">
        <v>149</v>
      </c>
      <c r="BF64">
        <v>0</v>
      </c>
      <c r="BG64" s="7">
        <f t="shared" si="47"/>
        <v>0</v>
      </c>
      <c r="BH64">
        <v>0</v>
      </c>
      <c r="BI64" s="6">
        <f t="shared" si="48"/>
        <v>0</v>
      </c>
      <c r="BJ64">
        <f t="shared" si="49"/>
        <v>1</v>
      </c>
      <c r="BK64">
        <v>0</v>
      </c>
      <c r="BL64">
        <f>Gameweek_11</f>
        <v>19</v>
      </c>
      <c r="BM64" s="6">
        <f t="shared" si="50"/>
        <v>0</v>
      </c>
      <c r="BO64" s="25" t="s">
        <v>222</v>
      </c>
      <c r="BP64" t="s">
        <v>156</v>
      </c>
      <c r="BQ64">
        <v>0</v>
      </c>
      <c r="BR64" s="7">
        <f t="shared" si="44"/>
        <v>0</v>
      </c>
      <c r="BS64">
        <v>1</v>
      </c>
      <c r="BT64" s="6">
        <f t="shared" ref="BT64:BT65" si="51">BS64/8+BR64</f>
        <v>0.125</v>
      </c>
      <c r="BU64">
        <f t="shared" si="28"/>
        <v>0</v>
      </c>
      <c r="BV64">
        <v>2</v>
      </c>
      <c r="BW64">
        <f>Gameweek_12</f>
        <v>19</v>
      </c>
      <c r="BX64" s="6">
        <f t="shared" ref="BX64:BX65" si="52">(BU64-BT64)*BV64</f>
        <v>-0.25</v>
      </c>
      <c r="BZ64" s="25" t="s">
        <v>146</v>
      </c>
      <c r="CA64" t="s">
        <v>159</v>
      </c>
      <c r="CB64">
        <v>0</v>
      </c>
      <c r="CC64" s="7">
        <f t="shared" si="40"/>
        <v>0</v>
      </c>
      <c r="CD64">
        <v>2</v>
      </c>
      <c r="CE64" s="6">
        <f t="shared" si="41"/>
        <v>0.25</v>
      </c>
      <c r="CF64">
        <f t="shared" si="42"/>
        <v>0</v>
      </c>
      <c r="CG64">
        <v>2</v>
      </c>
      <c r="CH64">
        <f>Gameweek_13</f>
        <v>19</v>
      </c>
      <c r="CI64" s="6">
        <f t="shared" si="43"/>
        <v>-0.5</v>
      </c>
      <c r="CK64" s="25" t="s">
        <v>146</v>
      </c>
      <c r="CL64" t="s">
        <v>159</v>
      </c>
      <c r="CM64">
        <v>0</v>
      </c>
      <c r="CN64" s="7">
        <f t="shared" si="21"/>
        <v>0</v>
      </c>
      <c r="CO64">
        <v>2</v>
      </c>
      <c r="CP64" s="6">
        <f t="shared" si="22"/>
        <v>0.25</v>
      </c>
      <c r="CQ64">
        <f t="shared" si="23"/>
        <v>0</v>
      </c>
      <c r="CR64">
        <v>0</v>
      </c>
      <c r="CS64">
        <f>Gameweek_13</f>
        <v>19</v>
      </c>
      <c r="CT64" s="6">
        <f t="shared" si="24"/>
        <v>0</v>
      </c>
    </row>
    <row r="65" spans="28:98" ht="32" x14ac:dyDescent="0.2">
      <c r="AB65" t="s">
        <v>29</v>
      </c>
      <c r="AC65">
        <f>(SUMIF(AE6:AE20,33,AD6:AD20))</f>
        <v>0</v>
      </c>
      <c r="AM65" s="26" t="s">
        <v>30</v>
      </c>
      <c r="AN65">
        <f>SUMIF(AP6:AP63,6,AO6:AO63)</f>
        <v>38</v>
      </c>
      <c r="AP65" t="s">
        <v>66</v>
      </c>
      <c r="AQ65" s="1">
        <f>SUM(AQ6:AQ63)</f>
        <v>12.402777777777779</v>
      </c>
      <c r="AS65" s="25" t="s">
        <v>212</v>
      </c>
      <c r="AT65" t="s">
        <v>149</v>
      </c>
      <c r="AU65">
        <v>0</v>
      </c>
      <c r="AV65" s="7">
        <f t="shared" si="37"/>
        <v>0</v>
      </c>
      <c r="AW65">
        <v>1</v>
      </c>
      <c r="AX65" s="6">
        <f t="shared" si="38"/>
        <v>0.125</v>
      </c>
      <c r="AY65">
        <v>0</v>
      </c>
      <c r="AZ65">
        <v>5</v>
      </c>
      <c r="BA65">
        <f>Gameweek_10</f>
        <v>19</v>
      </c>
      <c r="BB65" s="6">
        <f t="shared" si="39"/>
        <v>-0.625</v>
      </c>
      <c r="BD65" s="24" t="s">
        <v>174</v>
      </c>
      <c r="BF65">
        <v>0</v>
      </c>
      <c r="BG65" s="7">
        <f t="shared" si="47"/>
        <v>0</v>
      </c>
      <c r="BH65">
        <v>2</v>
      </c>
      <c r="BI65" s="6">
        <f t="shared" si="48"/>
        <v>0.25</v>
      </c>
      <c r="BJ65">
        <f t="shared" si="49"/>
        <v>0</v>
      </c>
      <c r="BK65">
        <v>-4</v>
      </c>
      <c r="BL65">
        <f>Gameweek_11</f>
        <v>40</v>
      </c>
      <c r="BM65" s="6">
        <f t="shared" si="50"/>
        <v>1</v>
      </c>
      <c r="BO65" s="25" t="s">
        <v>223</v>
      </c>
      <c r="BP65" t="s">
        <v>161</v>
      </c>
      <c r="BQ65">
        <v>0</v>
      </c>
      <c r="BR65" s="7">
        <f t="shared" si="44"/>
        <v>0</v>
      </c>
      <c r="BS65">
        <v>1</v>
      </c>
      <c r="BT65" s="6">
        <f t="shared" si="51"/>
        <v>0.125</v>
      </c>
      <c r="BU65">
        <f t="shared" si="28"/>
        <v>0</v>
      </c>
      <c r="BV65">
        <v>2</v>
      </c>
      <c r="BW65">
        <f>Gameweek_12</f>
        <v>19</v>
      </c>
      <c r="BX65" s="6">
        <f t="shared" si="52"/>
        <v>-0.25</v>
      </c>
    </row>
    <row r="66" spans="28:98" ht="29" customHeight="1" x14ac:dyDescent="0.2">
      <c r="AB66" t="s">
        <v>31</v>
      </c>
      <c r="AC66">
        <f>AC64+2*AC65</f>
        <v>13</v>
      </c>
      <c r="AE66" s="26" t="s">
        <v>175</v>
      </c>
      <c r="AF66">
        <f>SUMIF(AE20:AE61,40,AD20:AD61)</f>
        <v>0</v>
      </c>
      <c r="AM66" t="s">
        <v>29</v>
      </c>
      <c r="AN66">
        <f>(SUMIF(AP6:AP63,33,AO6:AO63))</f>
        <v>24</v>
      </c>
      <c r="CE66" s="26" t="s">
        <v>30</v>
      </c>
      <c r="CF66" s="36">
        <f>SUMIF(CH5:CH64,6,CG5:CG64)</f>
        <v>49</v>
      </c>
      <c r="CP66" s="26" t="s">
        <v>30</v>
      </c>
      <c r="CQ66" s="36">
        <f>SUMIF(CS5:CS64,6,CR5:CR64)</f>
        <v>8</v>
      </c>
    </row>
    <row r="67" spans="28:98" ht="48" x14ac:dyDescent="0.2">
      <c r="AB67" t="s">
        <v>33</v>
      </c>
      <c r="AC67">
        <f>SUMIF(AE6:AE20,3,AD6:AD20)</f>
        <v>0</v>
      </c>
      <c r="AE67" s="26" t="s">
        <v>176</v>
      </c>
      <c r="AF67">
        <f>AC64+AC65</f>
        <v>13</v>
      </c>
      <c r="AJ67" s="28" t="s">
        <v>193</v>
      </c>
      <c r="AK67" t="s">
        <v>194</v>
      </c>
      <c r="AM67" t="s">
        <v>31</v>
      </c>
      <c r="AN67">
        <f>AN65+2*AN66</f>
        <v>86</v>
      </c>
      <c r="AP67" s="26" t="s">
        <v>175</v>
      </c>
      <c r="AQ67">
        <f>SUMIF(AP21:AP63,40,AO21:AO63)</f>
        <v>-4</v>
      </c>
      <c r="AX67" s="26" t="s">
        <v>30</v>
      </c>
      <c r="AY67">
        <f>SUMIF(BA6:BA63,6,AZ6:AZ63)</f>
        <v>34</v>
      </c>
      <c r="BA67" t="s">
        <v>66</v>
      </c>
      <c r="BB67" s="1">
        <f>SUM(BB6:BB65)</f>
        <v>4.375</v>
      </c>
      <c r="BI67" s="36" t="s">
        <v>30</v>
      </c>
      <c r="BJ67" s="36">
        <f>SUMIF(BL6:BL65,6,BK6:BK65)</f>
        <v>42</v>
      </c>
      <c r="BL67" t="s">
        <v>66</v>
      </c>
      <c r="BM67" s="1">
        <f>SUM(BM6:BM65)</f>
        <v>117.90277777777777</v>
      </c>
      <c r="BT67" s="36" t="s">
        <v>30</v>
      </c>
      <c r="BU67" s="36">
        <f>SUMIF(BW6:BW65,6,BV6:BV65)</f>
        <v>55</v>
      </c>
      <c r="BW67" t="s">
        <v>66</v>
      </c>
      <c r="BX67" s="1">
        <f>SUM(BX6:BX65)</f>
        <v>5.0555555555555571</v>
      </c>
      <c r="CE67" s="36" t="s">
        <v>29</v>
      </c>
      <c r="CF67" s="36">
        <f>(SUMIF(CH5:CH61,33,CG5:CG61))</f>
        <v>6</v>
      </c>
      <c r="CH67" t="s">
        <v>66</v>
      </c>
      <c r="CI67" s="1">
        <f>SUM(CI6:CI64)</f>
        <v>11.083333333333336</v>
      </c>
      <c r="CP67" s="36" t="s">
        <v>29</v>
      </c>
      <c r="CQ67" s="36">
        <f>(SUMIF(CS5:CS61,33,CR5:CR61))</f>
        <v>0</v>
      </c>
      <c r="CS67" t="s">
        <v>66</v>
      </c>
      <c r="CT67" s="1">
        <f>SUM(CT6:CT64)</f>
        <v>3.625</v>
      </c>
    </row>
    <row r="68" spans="28:98" ht="32" x14ac:dyDescent="0.2">
      <c r="AM68" t="s">
        <v>33</v>
      </c>
      <c r="AN68">
        <v>5</v>
      </c>
      <c r="AP68" s="26" t="s">
        <v>176</v>
      </c>
      <c r="AQ68">
        <f>AN65+AN66</f>
        <v>62</v>
      </c>
      <c r="AX68" t="s">
        <v>29</v>
      </c>
      <c r="AY68">
        <f>(SUMIF(BA6:BA65,33,AZ6:AZ65))</f>
        <v>5</v>
      </c>
      <c r="BI68" s="36" t="s">
        <v>29</v>
      </c>
      <c r="BJ68" s="36">
        <f>(SUMIF(BL6:BL65,33,BK6:BK65))</f>
        <v>5</v>
      </c>
      <c r="BT68" s="36" t="s">
        <v>29</v>
      </c>
      <c r="BU68" s="36">
        <f>(SUMIF(BW6:BW62,33,BV6:BV62))</f>
        <v>8</v>
      </c>
      <c r="CE68" s="38" t="s">
        <v>31</v>
      </c>
      <c r="CF68" s="38">
        <f>CF66+2*CF67</f>
        <v>61</v>
      </c>
      <c r="CP68" s="38" t="s">
        <v>31</v>
      </c>
      <c r="CQ68" s="38">
        <f>CQ66+2*CQ67</f>
        <v>8</v>
      </c>
    </row>
    <row r="69" spans="28:98" ht="48" x14ac:dyDescent="0.2">
      <c r="AP69" t="s">
        <v>220</v>
      </c>
      <c r="AQ69">
        <f>AQ67/AQ68</f>
        <v>-6.4516129032258063E-2</v>
      </c>
      <c r="AU69" s="30" t="s">
        <v>193</v>
      </c>
      <c r="AV69" s="31" t="s">
        <v>194</v>
      </c>
      <c r="AX69" t="s">
        <v>31</v>
      </c>
      <c r="AY69">
        <f>AY67+2*AY68</f>
        <v>44</v>
      </c>
      <c r="BA69" s="26" t="s">
        <v>175</v>
      </c>
      <c r="BB69">
        <f>SUMIF(BA21:BA63,40,AZ21:AZ63)</f>
        <v>-4</v>
      </c>
      <c r="BI69" s="36" t="s">
        <v>31</v>
      </c>
      <c r="BJ69" s="36">
        <f>BJ67+2*BJ68</f>
        <v>52</v>
      </c>
      <c r="BL69" s="26" t="s">
        <v>175</v>
      </c>
      <c r="BM69">
        <f>SUMIF(BL6:BL65,40,BK6:BK65)</f>
        <v>-4</v>
      </c>
      <c r="BT69" s="38" t="s">
        <v>31</v>
      </c>
      <c r="BU69" s="38">
        <f>BU67+2*BU68</f>
        <v>71</v>
      </c>
      <c r="BW69" s="26" t="s">
        <v>175</v>
      </c>
      <c r="BX69">
        <f>SUMIF(BW6:BW65,40,BV6:BV65)</f>
        <v>0</v>
      </c>
      <c r="CE69" s="36" t="s">
        <v>33</v>
      </c>
      <c r="CF69" s="36">
        <f>SUMIF(CH5:CH64,3,CG5:CG64)</f>
        <v>2</v>
      </c>
      <c r="CP69" s="36" t="s">
        <v>33</v>
      </c>
      <c r="CQ69" s="36">
        <f>SUMIF(CS5:CS64,3,CR5:CR64)</f>
        <v>0</v>
      </c>
    </row>
    <row r="70" spans="28:98" ht="60" x14ac:dyDescent="0.25">
      <c r="AH70" s="27" t="s">
        <v>177</v>
      </c>
      <c r="AI70" s="27" t="s">
        <v>178</v>
      </c>
      <c r="AJ70" s="27" t="s">
        <v>179</v>
      </c>
      <c r="AK70" s="27" t="s">
        <v>180</v>
      </c>
      <c r="AL70" s="27" t="s">
        <v>181</v>
      </c>
      <c r="AM70" s="27" t="s">
        <v>174</v>
      </c>
      <c r="AN70" s="27" t="s">
        <v>182</v>
      </c>
      <c r="AP70" s="27" t="s">
        <v>192</v>
      </c>
      <c r="AQ70" s="29" t="s">
        <v>196</v>
      </c>
      <c r="AX70" t="s">
        <v>33</v>
      </c>
      <c r="AY70">
        <f>SUMIF(BA6:BA63,3,AZ6:AZ63)</f>
        <v>7</v>
      </c>
      <c r="BA70" s="26" t="s">
        <v>176</v>
      </c>
      <c r="BB70">
        <f>AY67+AY68</f>
        <v>39</v>
      </c>
      <c r="BI70" s="36" t="s">
        <v>33</v>
      </c>
      <c r="BJ70" s="36">
        <f>SUMIF(BL6:BL65,3,BK6:BK65)</f>
        <v>22</v>
      </c>
      <c r="BL70" s="26" t="s">
        <v>176</v>
      </c>
      <c r="BM70">
        <f>BJ67+BJ68</f>
        <v>47</v>
      </c>
      <c r="BT70" s="36" t="s">
        <v>33</v>
      </c>
      <c r="BU70" s="36">
        <f>SUMIF(BW6:BW65,3,BV6:BV65)</f>
        <v>3</v>
      </c>
      <c r="BW70" s="26" t="s">
        <v>176</v>
      </c>
      <c r="BX70">
        <f>BU67+BU68</f>
        <v>63</v>
      </c>
    </row>
    <row r="71" spans="28:98" x14ac:dyDescent="0.2">
      <c r="AH71">
        <f>RANK(AK71,AK$71:AK$79)</f>
        <v>1</v>
      </c>
      <c r="AI71">
        <v>1</v>
      </c>
      <c r="AJ71" t="s">
        <v>183</v>
      </c>
      <c r="AK71">
        <v>609</v>
      </c>
      <c r="AL71">
        <v>92</v>
      </c>
      <c r="AM71">
        <v>-4</v>
      </c>
      <c r="AN71" t="s">
        <v>1</v>
      </c>
      <c r="AP71" t="s">
        <v>195</v>
      </c>
      <c r="AQ71" t="str">
        <f>IF(AND(AK67="Bench Boost",AN68&lt;10),"Unlocked","Locked")</f>
        <v>Locked</v>
      </c>
      <c r="BA71" t="s">
        <v>220</v>
      </c>
      <c r="BB71">
        <f>BB69/BB70</f>
        <v>-0.10256410256410256</v>
      </c>
      <c r="BL71" t="s">
        <v>220</v>
      </c>
      <c r="BM71">
        <f>BM69/BM70</f>
        <v>-8.5106382978723402E-2</v>
      </c>
      <c r="BW71" t="s">
        <v>220</v>
      </c>
      <c r="BX71">
        <f>BX69/BX70</f>
        <v>0</v>
      </c>
    </row>
    <row r="72" spans="28:98" ht="19" x14ac:dyDescent="0.25">
      <c r="AH72">
        <f t="shared" ref="AH72:AH79" si="53">RANK(AK72,AK$71:AK$79)</f>
        <v>2</v>
      </c>
      <c r="AI72">
        <v>3</v>
      </c>
      <c r="AJ72" t="s">
        <v>184</v>
      </c>
      <c r="AK72">
        <v>596</v>
      </c>
      <c r="AL72">
        <v>87</v>
      </c>
      <c r="AM72">
        <v>-4</v>
      </c>
      <c r="AN72" t="s">
        <v>1</v>
      </c>
      <c r="AP72" t="s">
        <v>197</v>
      </c>
      <c r="AQ72" t="str">
        <f>IF(AN68&gt;AQ68,"Unlocked","Locked")</f>
        <v>Locked</v>
      </c>
      <c r="AS72" s="33" t="s">
        <v>177</v>
      </c>
      <c r="AT72" s="33" t="s">
        <v>178</v>
      </c>
      <c r="AU72" s="33" t="s">
        <v>179</v>
      </c>
      <c r="AV72" s="33" t="s">
        <v>180</v>
      </c>
      <c r="AW72" s="33" t="s">
        <v>181</v>
      </c>
      <c r="AX72" s="33" t="s">
        <v>174</v>
      </c>
      <c r="AY72" s="33" t="s">
        <v>182</v>
      </c>
      <c r="BA72" s="27"/>
      <c r="BB72" s="29"/>
      <c r="BD72" s="33" t="s">
        <v>177</v>
      </c>
      <c r="BE72" s="33"/>
      <c r="BF72" s="33" t="s">
        <v>179</v>
      </c>
      <c r="BG72" s="33" t="s">
        <v>180</v>
      </c>
      <c r="BH72" s="33" t="s">
        <v>181</v>
      </c>
      <c r="BI72" s="33" t="s">
        <v>174</v>
      </c>
      <c r="BJ72" s="33" t="s">
        <v>182</v>
      </c>
      <c r="BO72" s="33" t="s">
        <v>177</v>
      </c>
      <c r="BP72" s="33" t="s">
        <v>179</v>
      </c>
      <c r="BQ72" s="33" t="s">
        <v>180</v>
      </c>
      <c r="BR72" s="33" t="s">
        <v>225</v>
      </c>
      <c r="BS72" s="33" t="s">
        <v>182</v>
      </c>
      <c r="BZ72" s="33" t="s">
        <v>177</v>
      </c>
      <c r="CA72" s="33" t="s">
        <v>179</v>
      </c>
      <c r="CB72" s="33" t="s">
        <v>180</v>
      </c>
      <c r="CC72" s="33" t="s">
        <v>225</v>
      </c>
      <c r="CD72" s="33" t="s">
        <v>182</v>
      </c>
      <c r="CK72" s="33" t="s">
        <v>177</v>
      </c>
      <c r="CL72" s="33" t="s">
        <v>179</v>
      </c>
      <c r="CM72" s="33" t="s">
        <v>180</v>
      </c>
      <c r="CN72" s="33" t="s">
        <v>225</v>
      </c>
      <c r="CO72" s="33" t="s">
        <v>182</v>
      </c>
    </row>
    <row r="73" spans="28:98" x14ac:dyDescent="0.2">
      <c r="AH73">
        <f t="shared" si="53"/>
        <v>3</v>
      </c>
      <c r="AI73">
        <v>4</v>
      </c>
      <c r="AJ73" t="s">
        <v>185</v>
      </c>
      <c r="AK73">
        <v>594</v>
      </c>
      <c r="AL73">
        <v>95</v>
      </c>
      <c r="AM73">
        <v>-4</v>
      </c>
      <c r="AN73" t="s">
        <v>1</v>
      </c>
      <c r="AP73" t="s">
        <v>198</v>
      </c>
      <c r="AQ73" t="str">
        <f>IF(AND(AK67&lt;&gt;"Bench Boost",AN68&gt;=20),"Unlocked","Locked")</f>
        <v>Locked</v>
      </c>
      <c r="AS73" s="34">
        <f t="shared" ref="AS73:AS81" si="54">RANK(AV73,AV$73:AV$81)</f>
        <v>1</v>
      </c>
      <c r="AT73" s="34">
        <f>RANK(AV73,AV$73:AV$81)</f>
        <v>1</v>
      </c>
      <c r="AU73" s="34" t="s">
        <v>183</v>
      </c>
      <c r="AV73" s="34">
        <v>640</v>
      </c>
      <c r="AW73" s="34">
        <f t="shared" ref="AW73:AW81" si="55">AV73-AK71</f>
        <v>31</v>
      </c>
      <c r="AX73" s="34">
        <v>0</v>
      </c>
      <c r="AY73" s="34" t="s">
        <v>1</v>
      </c>
      <c r="BD73" s="34">
        <f t="shared" ref="BD73:BD81" si="56">RANK(BG73,BG$73:BG$81)</f>
        <v>1</v>
      </c>
      <c r="BE73" s="34"/>
      <c r="BF73" s="34" t="s">
        <v>184</v>
      </c>
      <c r="BG73" s="34">
        <v>713</v>
      </c>
      <c r="BH73" s="34"/>
      <c r="BI73" s="34">
        <v>-4</v>
      </c>
      <c r="BJ73" s="34" t="s">
        <v>1</v>
      </c>
      <c r="BO73" s="34">
        <f t="shared" ref="BO73:BO81" si="57">RANK(BQ73,BQ$73:BQ$81)</f>
        <v>1</v>
      </c>
      <c r="BP73" s="34" t="s">
        <v>184</v>
      </c>
      <c r="BQ73" s="34">
        <v>799</v>
      </c>
      <c r="BR73" s="34">
        <f>BQ73-BG73</f>
        <v>86</v>
      </c>
      <c r="BS73" s="34" t="s">
        <v>1</v>
      </c>
      <c r="BZ73" s="34">
        <f t="shared" ref="BZ73:BZ81" si="58">RANK(CB73,CB$73:CB$81)</f>
        <v>1</v>
      </c>
      <c r="CA73" s="34" t="s">
        <v>184</v>
      </c>
      <c r="CB73" s="34">
        <v>862</v>
      </c>
      <c r="CC73" s="34"/>
      <c r="CD73" s="34" t="s">
        <v>1</v>
      </c>
      <c r="CK73" s="34">
        <f>RANK(CM73,CM$73:CM$81)</f>
        <v>1</v>
      </c>
      <c r="CL73" s="34" t="s">
        <v>184</v>
      </c>
      <c r="CM73" s="34">
        <v>870</v>
      </c>
      <c r="CN73" s="34"/>
      <c r="CO73" s="34" t="s">
        <v>1</v>
      </c>
    </row>
    <row r="74" spans="28:98" x14ac:dyDescent="0.2">
      <c r="AH74">
        <f t="shared" si="53"/>
        <v>4</v>
      </c>
      <c r="AI74">
        <v>2</v>
      </c>
      <c r="AJ74" t="s">
        <v>186</v>
      </c>
      <c r="AK74">
        <v>589</v>
      </c>
      <c r="AL74">
        <v>78</v>
      </c>
      <c r="AM74">
        <v>-4</v>
      </c>
      <c r="AN74" t="s">
        <v>1</v>
      </c>
      <c r="AP74" t="s">
        <v>199</v>
      </c>
      <c r="AQ74" t="str">
        <f>IF(AND(AK67="Triple Captain",AN66&lt;=1),"Unlocked","Locked")</f>
        <v>Locked</v>
      </c>
      <c r="AS74" s="34">
        <f t="shared" si="54"/>
        <v>2</v>
      </c>
      <c r="AT74" s="34">
        <f t="shared" ref="AT74:AT81" si="59">RANK(AK72,AK$71:AK$79)</f>
        <v>2</v>
      </c>
      <c r="AU74" s="34" t="s">
        <v>184</v>
      </c>
      <c r="AV74" s="34">
        <v>637</v>
      </c>
      <c r="AW74" s="34">
        <f t="shared" si="55"/>
        <v>41</v>
      </c>
      <c r="AX74" s="34">
        <v>0</v>
      </c>
      <c r="AY74" s="34" t="s">
        <v>1</v>
      </c>
      <c r="BD74" s="34">
        <f t="shared" si="56"/>
        <v>2</v>
      </c>
      <c r="BE74" s="34"/>
      <c r="BF74" s="34" t="s">
        <v>183</v>
      </c>
      <c r="BG74" s="34">
        <v>707</v>
      </c>
      <c r="BH74" s="34"/>
      <c r="BI74" s="34">
        <v>0</v>
      </c>
      <c r="BJ74" s="34" t="s">
        <v>1</v>
      </c>
      <c r="BO74" s="34">
        <f t="shared" si="57"/>
        <v>2</v>
      </c>
      <c r="BP74" s="34" t="s">
        <v>183</v>
      </c>
      <c r="BQ74" s="34">
        <v>783</v>
      </c>
      <c r="BR74" s="34">
        <f>BQ74-BG74</f>
        <v>76</v>
      </c>
      <c r="BS74" s="34" t="s">
        <v>1</v>
      </c>
      <c r="BZ74" s="34">
        <f t="shared" si="58"/>
        <v>2</v>
      </c>
      <c r="CA74" s="34" t="s">
        <v>183</v>
      </c>
      <c r="CB74" s="34">
        <v>851</v>
      </c>
      <c r="CC74" s="34"/>
      <c r="CD74" s="34" t="s">
        <v>1</v>
      </c>
      <c r="CK74" s="34">
        <f>RANK(CM74,CM$73:CM$81)</f>
        <v>2</v>
      </c>
      <c r="CL74" s="34" t="s">
        <v>183</v>
      </c>
      <c r="CM74" s="34">
        <v>851</v>
      </c>
      <c r="CN74" s="34"/>
      <c r="CO74" s="34" t="s">
        <v>1</v>
      </c>
    </row>
    <row r="75" spans="28:98" x14ac:dyDescent="0.2">
      <c r="AH75">
        <f t="shared" si="53"/>
        <v>5</v>
      </c>
      <c r="AI75">
        <v>6</v>
      </c>
      <c r="AJ75" t="s">
        <v>187</v>
      </c>
      <c r="AK75">
        <v>546</v>
      </c>
      <c r="AL75">
        <v>86</v>
      </c>
      <c r="AM75">
        <v>0</v>
      </c>
      <c r="AN75" t="s">
        <v>1</v>
      </c>
      <c r="AP75" t="s">
        <v>200</v>
      </c>
      <c r="AQ75" t="str">
        <f>IF(AN67&gt;=100,"Unlocked","Locked")</f>
        <v>Locked</v>
      </c>
      <c r="AS75" s="34">
        <f t="shared" si="54"/>
        <v>3</v>
      </c>
      <c r="AT75" s="34">
        <f t="shared" si="59"/>
        <v>3</v>
      </c>
      <c r="AU75" s="34" t="s">
        <v>185</v>
      </c>
      <c r="AV75" s="34">
        <v>633</v>
      </c>
      <c r="AW75" s="34">
        <f t="shared" si="55"/>
        <v>39</v>
      </c>
      <c r="AX75" s="34">
        <v>0</v>
      </c>
      <c r="AY75" s="34" t="s">
        <v>1</v>
      </c>
      <c r="BD75" s="34">
        <f t="shared" si="56"/>
        <v>3</v>
      </c>
      <c r="BE75" s="34"/>
      <c r="BF75" s="34" t="s">
        <v>186</v>
      </c>
      <c r="BG75" s="34">
        <v>692</v>
      </c>
      <c r="BH75" s="34"/>
      <c r="BI75" s="34">
        <v>-4</v>
      </c>
      <c r="BJ75" s="34" t="s">
        <v>1</v>
      </c>
      <c r="BO75" s="34">
        <f t="shared" si="57"/>
        <v>3</v>
      </c>
      <c r="BP75" s="34" t="s">
        <v>185</v>
      </c>
      <c r="BQ75" s="34">
        <v>746</v>
      </c>
      <c r="BR75" s="34">
        <f>BQ75-BG76</f>
        <v>70</v>
      </c>
      <c r="BS75" s="34" t="s">
        <v>1</v>
      </c>
      <c r="BZ75" s="34">
        <f t="shared" si="58"/>
        <v>3</v>
      </c>
      <c r="CA75" s="34" t="s">
        <v>185</v>
      </c>
      <c r="CB75" s="34">
        <v>794</v>
      </c>
      <c r="CC75" s="34"/>
      <c r="CD75" s="34" t="s">
        <v>1</v>
      </c>
      <c r="CK75" s="34">
        <f>RANK(CM75,CM$73:CM$81)</f>
        <v>3</v>
      </c>
      <c r="CL75" s="34" t="s">
        <v>185</v>
      </c>
      <c r="CM75" s="34">
        <v>808</v>
      </c>
      <c r="CN75" s="34"/>
      <c r="CO75" s="34" t="s">
        <v>1</v>
      </c>
    </row>
    <row r="76" spans="28:98" x14ac:dyDescent="0.2">
      <c r="AH76">
        <f t="shared" si="53"/>
        <v>6</v>
      </c>
      <c r="AI76">
        <v>5</v>
      </c>
      <c r="AJ76" t="s">
        <v>188</v>
      </c>
      <c r="AK76">
        <v>545</v>
      </c>
      <c r="AL76">
        <v>61</v>
      </c>
      <c r="AM76">
        <v>0</v>
      </c>
      <c r="AN76" t="s">
        <v>137</v>
      </c>
      <c r="AP76" t="s">
        <v>201</v>
      </c>
      <c r="AQ76" t="str">
        <f>IF(AND(AK67="Triple Captain",AN66&gt;=12),"Unlocked","Locked")</f>
        <v>Locked</v>
      </c>
      <c r="AS76" s="34">
        <f t="shared" si="54"/>
        <v>4</v>
      </c>
      <c r="AT76" s="34">
        <f t="shared" si="59"/>
        <v>4</v>
      </c>
      <c r="AU76" s="34" t="s">
        <v>186</v>
      </c>
      <c r="AV76" s="34">
        <v>622</v>
      </c>
      <c r="AW76" s="34">
        <f t="shared" si="55"/>
        <v>33</v>
      </c>
      <c r="AX76" s="34">
        <v>0</v>
      </c>
      <c r="AY76" s="34" t="s">
        <v>1</v>
      </c>
      <c r="BD76" s="34">
        <f t="shared" si="56"/>
        <v>4</v>
      </c>
      <c r="BE76" s="34"/>
      <c r="BF76" s="34" t="s">
        <v>185</v>
      </c>
      <c r="BG76" s="34">
        <v>676</v>
      </c>
      <c r="BH76" s="34"/>
      <c r="BI76" s="34">
        <v>0</v>
      </c>
      <c r="BJ76" s="34" t="s">
        <v>1</v>
      </c>
      <c r="BO76" s="34">
        <f t="shared" si="57"/>
        <v>4</v>
      </c>
      <c r="BP76" s="34" t="s">
        <v>186</v>
      </c>
      <c r="BQ76" s="34">
        <v>745</v>
      </c>
      <c r="BR76" s="34">
        <f>BQ76-BG75</f>
        <v>53</v>
      </c>
      <c r="BS76" s="34" t="s">
        <v>1</v>
      </c>
      <c r="BZ76" s="34">
        <f t="shared" si="58"/>
        <v>4</v>
      </c>
      <c r="CA76" s="34" t="s">
        <v>186</v>
      </c>
      <c r="CB76" s="34">
        <v>784</v>
      </c>
      <c r="CC76" s="34"/>
      <c r="CD76" s="34" t="s">
        <v>1</v>
      </c>
      <c r="CK76" s="34">
        <f>RANK(CM76,CM$73:CM$81)</f>
        <v>4</v>
      </c>
      <c r="CL76" s="34" t="s">
        <v>186</v>
      </c>
      <c r="CM76" s="34">
        <v>793</v>
      </c>
      <c r="CN76" s="34"/>
      <c r="CO76" s="34" t="s">
        <v>1</v>
      </c>
    </row>
    <row r="77" spans="28:98" x14ac:dyDescent="0.2">
      <c r="AH77">
        <f t="shared" si="53"/>
        <v>7</v>
      </c>
      <c r="AI77">
        <v>9</v>
      </c>
      <c r="AJ77" t="s">
        <v>189</v>
      </c>
      <c r="AK77">
        <v>531</v>
      </c>
      <c r="AL77">
        <v>102</v>
      </c>
      <c r="AM77">
        <v>0</v>
      </c>
      <c r="AN77" t="s">
        <v>1</v>
      </c>
      <c r="AS77" s="34">
        <f t="shared" si="54"/>
        <v>5</v>
      </c>
      <c r="AT77" s="34">
        <f t="shared" si="59"/>
        <v>5</v>
      </c>
      <c r="AU77" s="32" t="s">
        <v>187</v>
      </c>
      <c r="AV77" s="32">
        <v>586</v>
      </c>
      <c r="AW77" s="32">
        <f t="shared" si="55"/>
        <v>40</v>
      </c>
      <c r="AX77" s="32">
        <v>-4</v>
      </c>
      <c r="AY77" s="32" t="s">
        <v>1</v>
      </c>
      <c r="BD77" s="34">
        <f t="shared" si="56"/>
        <v>5</v>
      </c>
      <c r="BE77" s="34"/>
      <c r="BF77" s="34" t="s">
        <v>189</v>
      </c>
      <c r="BG77" s="34">
        <v>647</v>
      </c>
      <c r="BH77" s="34"/>
      <c r="BI77" s="34">
        <v>0</v>
      </c>
      <c r="BJ77" s="34" t="s">
        <v>1</v>
      </c>
      <c r="BO77" s="34">
        <f t="shared" si="57"/>
        <v>5</v>
      </c>
      <c r="BP77" s="34" t="s">
        <v>190</v>
      </c>
      <c r="BQ77" s="34">
        <v>714</v>
      </c>
      <c r="BR77" s="34">
        <f>BQ77-BG79</f>
        <v>79</v>
      </c>
      <c r="BS77" s="34" t="s">
        <v>1</v>
      </c>
      <c r="BZ77" s="34">
        <f t="shared" si="58"/>
        <v>5</v>
      </c>
      <c r="CA77" s="34" t="s">
        <v>190</v>
      </c>
      <c r="CB77" s="34">
        <v>773</v>
      </c>
      <c r="CC77" s="34"/>
      <c r="CD77" s="34" t="s">
        <v>1</v>
      </c>
      <c r="CK77" s="32">
        <f>RANK(CM77,CM$73:CM$81)</f>
        <v>5</v>
      </c>
      <c r="CL77" s="32" t="s">
        <v>187</v>
      </c>
      <c r="CM77" s="32">
        <v>780</v>
      </c>
      <c r="CN77" s="32"/>
      <c r="CO77" s="32" t="s">
        <v>1</v>
      </c>
    </row>
    <row r="78" spans="28:98" x14ac:dyDescent="0.2">
      <c r="AH78">
        <f t="shared" si="53"/>
        <v>8</v>
      </c>
      <c r="AI78">
        <v>7</v>
      </c>
      <c r="AJ78" t="s">
        <v>190</v>
      </c>
      <c r="AK78">
        <v>528</v>
      </c>
      <c r="AL78">
        <v>81</v>
      </c>
      <c r="AM78">
        <v>-4</v>
      </c>
      <c r="AN78" t="s">
        <v>1</v>
      </c>
      <c r="AS78" s="34">
        <f t="shared" si="54"/>
        <v>6</v>
      </c>
      <c r="AT78" s="34">
        <f t="shared" si="59"/>
        <v>6</v>
      </c>
      <c r="AU78" s="34" t="s">
        <v>188</v>
      </c>
      <c r="AV78" s="34">
        <v>570</v>
      </c>
      <c r="AW78" s="34">
        <f t="shared" si="55"/>
        <v>25</v>
      </c>
      <c r="AX78" s="34">
        <v>0</v>
      </c>
      <c r="AY78" s="34" t="s">
        <v>1</v>
      </c>
      <c r="BD78" s="34">
        <f t="shared" si="56"/>
        <v>6</v>
      </c>
      <c r="BE78" s="34"/>
      <c r="BF78" s="34" t="s">
        <v>187</v>
      </c>
      <c r="BG78" s="32">
        <v>640</v>
      </c>
      <c r="BH78" s="34"/>
      <c r="BI78" s="32">
        <v>0</v>
      </c>
      <c r="BJ78" s="32" t="s">
        <v>1</v>
      </c>
      <c r="BO78" s="32">
        <f t="shared" si="57"/>
        <v>6</v>
      </c>
      <c r="BP78" s="32" t="s">
        <v>187</v>
      </c>
      <c r="BQ78" s="32">
        <v>711</v>
      </c>
      <c r="BR78" s="32">
        <f>BQ78-BG78</f>
        <v>71</v>
      </c>
      <c r="BS78" s="32" t="s">
        <v>1</v>
      </c>
      <c r="BZ78" s="32">
        <f t="shared" si="58"/>
        <v>6</v>
      </c>
      <c r="CA78" s="32" t="s">
        <v>187</v>
      </c>
      <c r="CB78" s="32">
        <v>772</v>
      </c>
      <c r="CC78" s="32"/>
      <c r="CD78" s="32" t="s">
        <v>1</v>
      </c>
      <c r="CK78" s="34">
        <f>RANK(CM78,CM$73:CM$81)</f>
        <v>6</v>
      </c>
      <c r="CL78" s="34" t="s">
        <v>190</v>
      </c>
      <c r="CM78" s="34">
        <v>774</v>
      </c>
      <c r="CN78" s="34"/>
      <c r="CO78" s="34" t="s">
        <v>1</v>
      </c>
    </row>
    <row r="79" spans="28:98" x14ac:dyDescent="0.2">
      <c r="AH79">
        <f t="shared" si="53"/>
        <v>9</v>
      </c>
      <c r="AI79">
        <v>8</v>
      </c>
      <c r="AJ79" t="s">
        <v>191</v>
      </c>
      <c r="AK79">
        <v>471</v>
      </c>
      <c r="AL79">
        <v>40</v>
      </c>
      <c r="AM79">
        <v>-4</v>
      </c>
      <c r="AN79" t="s">
        <v>167</v>
      </c>
      <c r="AS79" s="34">
        <f t="shared" si="54"/>
        <v>7</v>
      </c>
      <c r="AT79" s="34">
        <f t="shared" si="59"/>
        <v>7</v>
      </c>
      <c r="AU79" s="34" t="s">
        <v>189</v>
      </c>
      <c r="AV79" s="34">
        <v>568</v>
      </c>
      <c r="AW79" s="34">
        <f t="shared" si="55"/>
        <v>37</v>
      </c>
      <c r="AX79" s="34">
        <v>0</v>
      </c>
      <c r="AY79" s="34" t="s">
        <v>1</v>
      </c>
      <c r="BD79" s="34">
        <f t="shared" si="56"/>
        <v>7</v>
      </c>
      <c r="BE79" s="34"/>
      <c r="BF79" s="34" t="s">
        <v>190</v>
      </c>
      <c r="BG79" s="34">
        <v>635</v>
      </c>
      <c r="BH79" s="34"/>
      <c r="BI79" s="34">
        <v>0</v>
      </c>
      <c r="BJ79" s="34" t="s">
        <v>1</v>
      </c>
      <c r="BO79" s="34">
        <f t="shared" si="57"/>
        <v>7</v>
      </c>
      <c r="BP79" s="34" t="s">
        <v>189</v>
      </c>
      <c r="BQ79" s="34">
        <v>705</v>
      </c>
      <c r="BR79" s="34">
        <f>BQ79-BG77</f>
        <v>58</v>
      </c>
      <c r="BS79" s="34" t="s">
        <v>1</v>
      </c>
      <c r="BZ79" s="34">
        <f t="shared" si="58"/>
        <v>7</v>
      </c>
      <c r="CA79" s="34" t="s">
        <v>189</v>
      </c>
      <c r="CB79" s="34">
        <v>749</v>
      </c>
      <c r="CC79" s="34"/>
      <c r="CD79" s="34" t="s">
        <v>1</v>
      </c>
      <c r="CK79" s="34">
        <f>RANK(CM79,CM$73:CM$81)</f>
        <v>7</v>
      </c>
      <c r="CL79" s="34" t="s">
        <v>189</v>
      </c>
      <c r="CM79" s="34">
        <v>749</v>
      </c>
      <c r="CN79" s="34"/>
      <c r="CO79" s="34" t="s">
        <v>1</v>
      </c>
    </row>
    <row r="80" spans="28:98" x14ac:dyDescent="0.2">
      <c r="AS80" s="34">
        <f t="shared" si="54"/>
        <v>8</v>
      </c>
      <c r="AT80" s="34">
        <f t="shared" si="59"/>
        <v>8</v>
      </c>
      <c r="AU80" s="34" t="s">
        <v>190</v>
      </c>
      <c r="AV80" s="34">
        <v>561</v>
      </c>
      <c r="AW80" s="34">
        <f t="shared" si="55"/>
        <v>33</v>
      </c>
      <c r="AX80" s="34">
        <v>0</v>
      </c>
      <c r="AY80" s="34" t="s">
        <v>1</v>
      </c>
      <c r="BD80" s="34">
        <f t="shared" si="56"/>
        <v>8</v>
      </c>
      <c r="BE80" s="34"/>
      <c r="BF80" s="34" t="s">
        <v>188</v>
      </c>
      <c r="BG80" s="34">
        <v>623</v>
      </c>
      <c r="BH80" s="34"/>
      <c r="BI80" s="34">
        <v>0</v>
      </c>
      <c r="BJ80" s="34" t="s">
        <v>1</v>
      </c>
      <c r="BO80" s="34">
        <f t="shared" si="57"/>
        <v>8</v>
      </c>
      <c r="BP80" s="34" t="s">
        <v>188</v>
      </c>
      <c r="BQ80" s="34">
        <v>689</v>
      </c>
      <c r="BR80" s="34">
        <f>BQ80-BG80</f>
        <v>66</v>
      </c>
      <c r="BS80" s="34" t="s">
        <v>1</v>
      </c>
      <c r="BZ80" s="34">
        <f t="shared" si="58"/>
        <v>8</v>
      </c>
      <c r="CA80" s="34" t="s">
        <v>188</v>
      </c>
      <c r="CB80" s="34">
        <v>737</v>
      </c>
      <c r="CC80" s="34"/>
      <c r="CD80" s="34" t="s">
        <v>1</v>
      </c>
      <c r="CK80" s="34">
        <f>RANK(CM80,CM$73:CM$81)</f>
        <v>8</v>
      </c>
      <c r="CL80" s="34" t="s">
        <v>188</v>
      </c>
      <c r="CM80" s="34">
        <v>738</v>
      </c>
      <c r="CN80" s="34"/>
      <c r="CO80" s="34" t="s">
        <v>1</v>
      </c>
    </row>
    <row r="81" spans="37:96" x14ac:dyDescent="0.2">
      <c r="AK81" t="s">
        <v>211</v>
      </c>
      <c r="AL81" t="s">
        <v>22</v>
      </c>
      <c r="AS81" s="34">
        <f t="shared" si="54"/>
        <v>9</v>
      </c>
      <c r="AT81" s="34">
        <f t="shared" si="59"/>
        <v>9</v>
      </c>
      <c r="AU81" s="34" t="s">
        <v>191</v>
      </c>
      <c r="AV81" s="34">
        <v>497</v>
      </c>
      <c r="AW81" s="34">
        <f t="shared" si="55"/>
        <v>26</v>
      </c>
      <c r="AX81" s="34">
        <v>0</v>
      </c>
      <c r="AY81" s="34" t="s">
        <v>167</v>
      </c>
      <c r="BD81" s="34">
        <f t="shared" si="56"/>
        <v>9</v>
      </c>
      <c r="BE81" s="34"/>
      <c r="BF81" s="34" t="s">
        <v>191</v>
      </c>
      <c r="BG81" s="34">
        <v>536</v>
      </c>
      <c r="BH81" s="34"/>
      <c r="BI81" s="34">
        <v>0</v>
      </c>
      <c r="BJ81" s="34" t="s">
        <v>167</v>
      </c>
      <c r="BO81" s="34">
        <f t="shared" si="57"/>
        <v>9</v>
      </c>
      <c r="BP81" s="34" t="s">
        <v>191</v>
      </c>
      <c r="BQ81" s="34">
        <v>574</v>
      </c>
      <c r="BR81" s="34">
        <f>BQ81-BG81</f>
        <v>38</v>
      </c>
      <c r="BS81" s="34" t="s">
        <v>167</v>
      </c>
      <c r="BZ81" s="34">
        <f t="shared" si="58"/>
        <v>9</v>
      </c>
      <c r="CA81" s="34" t="s">
        <v>191</v>
      </c>
      <c r="CB81" s="34">
        <v>608</v>
      </c>
      <c r="CC81" s="34"/>
      <c r="CD81" s="34" t="s">
        <v>136</v>
      </c>
      <c r="CK81" s="34">
        <f>RANK(CM81,CM$73:CM$81)</f>
        <v>9</v>
      </c>
      <c r="CL81" s="34" t="s">
        <v>191</v>
      </c>
      <c r="CM81" s="34">
        <v>610</v>
      </c>
      <c r="CN81" s="34"/>
      <c r="CO81" s="34" t="s">
        <v>136</v>
      </c>
    </row>
    <row r="82" spans="37:96" x14ac:dyDescent="0.2">
      <c r="AK82" t="s">
        <v>206</v>
      </c>
      <c r="AL82">
        <f>AK73-AK77</f>
        <v>63</v>
      </c>
    </row>
    <row r="83" spans="37:96" x14ac:dyDescent="0.2">
      <c r="AK83" t="s">
        <v>207</v>
      </c>
      <c r="AL83">
        <f>AK74-AK77</f>
        <v>58</v>
      </c>
      <c r="AV83" s="35" t="s">
        <v>211</v>
      </c>
      <c r="AW83" s="35" t="s">
        <v>22</v>
      </c>
      <c r="AX83" s="35" t="s">
        <v>210</v>
      </c>
      <c r="BG83" s="35" t="s">
        <v>211</v>
      </c>
      <c r="BH83" s="35" t="s">
        <v>22</v>
      </c>
      <c r="BI83" s="37"/>
      <c r="BJ83">
        <v>3</v>
      </c>
      <c r="BK83">
        <v>0</v>
      </c>
      <c r="BQ83" s="35" t="s">
        <v>177</v>
      </c>
      <c r="BR83" s="35" t="s">
        <v>211</v>
      </c>
      <c r="BS83" s="35" t="s">
        <v>22</v>
      </c>
      <c r="BU83">
        <v>3</v>
      </c>
      <c r="BV83">
        <v>0</v>
      </c>
      <c r="CB83" s="35" t="s">
        <v>177</v>
      </c>
      <c r="CC83" s="35" t="s">
        <v>211</v>
      </c>
      <c r="CD83" s="35" t="s">
        <v>22</v>
      </c>
      <c r="CF83">
        <v>3</v>
      </c>
      <c r="CG83">
        <v>0</v>
      </c>
      <c r="CM83" s="35" t="s">
        <v>177</v>
      </c>
      <c r="CN83" s="35" t="s">
        <v>211</v>
      </c>
      <c r="CO83" s="35" t="s">
        <v>22</v>
      </c>
      <c r="CP83" s="37"/>
      <c r="CQ83">
        <v>3</v>
      </c>
      <c r="CR83">
        <v>0</v>
      </c>
    </row>
    <row r="84" spans="37:96" x14ac:dyDescent="0.2">
      <c r="AK84" t="s">
        <v>208</v>
      </c>
      <c r="AL84">
        <f>AK75-AK77</f>
        <v>15</v>
      </c>
      <c r="AV84" s="35" t="s">
        <v>206</v>
      </c>
      <c r="AW84" s="35">
        <f>AV$73-AV$77</f>
        <v>54</v>
      </c>
      <c r="AX84" s="35" t="str">
        <f t="shared" ref="AX84:AX91" si="60">IF(AW84&gt;AL82,"No","Yes")</f>
        <v>Yes</v>
      </c>
      <c r="BG84" s="35" t="s">
        <v>184</v>
      </c>
      <c r="BH84" s="35">
        <f>BG73-BG$78</f>
        <v>73</v>
      </c>
      <c r="BI84" s="37"/>
      <c r="BJ84">
        <v>6</v>
      </c>
      <c r="BK84">
        <v>1</v>
      </c>
      <c r="BQ84" s="35">
        <v>1</v>
      </c>
      <c r="BR84" s="35" t="str">
        <f>VLOOKUP(BQ84,BO$73:BS$81,2,0)</f>
        <v>The little fellas</v>
      </c>
      <c r="BS84" s="35">
        <f>BQ73-BQ$78</f>
        <v>88</v>
      </c>
      <c r="BU84">
        <v>6</v>
      </c>
      <c r="BV84">
        <v>1</v>
      </c>
      <c r="CB84" s="35">
        <v>1</v>
      </c>
      <c r="CC84" s="35" t="str">
        <f>VLOOKUP(CB84,BZ$73:CD$81,2,0)</f>
        <v>The little fellas</v>
      </c>
      <c r="CD84" s="35">
        <f>CB73-CB$78</f>
        <v>90</v>
      </c>
      <c r="CF84">
        <v>6</v>
      </c>
      <c r="CG84">
        <v>1</v>
      </c>
      <c r="CM84" s="35">
        <v>1</v>
      </c>
      <c r="CN84" s="35" t="str">
        <f>VLOOKUP(CM84,CK$73:CO$81,2,0)</f>
        <v>The little fellas</v>
      </c>
      <c r="CO84" s="35">
        <f>CM73-CM$77</f>
        <v>90</v>
      </c>
      <c r="CP84" s="37"/>
      <c r="CQ84">
        <v>6</v>
      </c>
      <c r="CR84">
        <v>1</v>
      </c>
    </row>
    <row r="85" spans="37:96" x14ac:dyDescent="0.2">
      <c r="AK85" t="s">
        <v>209</v>
      </c>
      <c r="AL85">
        <f>AK$76-AK$77</f>
        <v>14</v>
      </c>
      <c r="AV85" s="35" t="s">
        <v>207</v>
      </c>
      <c r="AW85" s="35">
        <f>AV$74-AV$77</f>
        <v>51</v>
      </c>
      <c r="AX85" s="35" t="str">
        <f t="shared" si="60"/>
        <v>Yes</v>
      </c>
      <c r="BG85" s="35" t="s">
        <v>183</v>
      </c>
      <c r="BH85" s="35">
        <f t="shared" ref="BH85:BH86" si="61">BG74-BG$78</f>
        <v>67</v>
      </c>
      <c r="BI85" s="37"/>
      <c r="BJ85">
        <v>33</v>
      </c>
      <c r="BK85">
        <v>2</v>
      </c>
      <c r="BQ85" s="35">
        <v>2</v>
      </c>
      <c r="BR85" s="35" t="str">
        <f t="shared" ref="BR85:BR92" si="62">VLOOKUP(BQ85,BO$73:BS$81,2,0)</f>
        <v>Sommer Signings FC</v>
      </c>
      <c r="BS85" s="35">
        <f>BQ74-BQ$78</f>
        <v>72</v>
      </c>
      <c r="BU85">
        <v>19</v>
      </c>
      <c r="BV85">
        <v>0</v>
      </c>
      <c r="CB85" s="35">
        <v>2</v>
      </c>
      <c r="CC85" s="35" t="str">
        <f t="shared" ref="CC85:CC92" si="63">VLOOKUP(CB85,BZ$73:CD$81,2,0)</f>
        <v>Sommer Signings FC</v>
      </c>
      <c r="CD85" s="35">
        <f>CB74-CB$78</f>
        <v>79</v>
      </c>
      <c r="CF85">
        <v>19</v>
      </c>
      <c r="CG85">
        <v>0</v>
      </c>
      <c r="CM85" s="35">
        <v>2</v>
      </c>
      <c r="CN85" s="35" t="str">
        <f t="shared" ref="CN85:CN92" si="64">VLOOKUP(CM85,CK$73:CO$81,2,0)</f>
        <v>Sommer Signings FC</v>
      </c>
      <c r="CO85" s="35">
        <f t="shared" ref="CO85:CO92" si="65">CM74-CM$77</f>
        <v>71</v>
      </c>
      <c r="CP85" s="37"/>
      <c r="CQ85">
        <v>19</v>
      </c>
      <c r="CR85">
        <v>0</v>
      </c>
    </row>
    <row r="86" spans="37:96" x14ac:dyDescent="0.2">
      <c r="AK86" t="s">
        <v>213</v>
      </c>
      <c r="AL86">
        <f>AK76-AK75</f>
        <v>-1</v>
      </c>
      <c r="AV86" s="35" t="s">
        <v>208</v>
      </c>
      <c r="AW86" s="35">
        <f>AV$75-AV$77</f>
        <v>47</v>
      </c>
      <c r="AX86" s="35" t="str">
        <f t="shared" si="60"/>
        <v>No</v>
      </c>
      <c r="BG86" s="35" t="s">
        <v>186</v>
      </c>
      <c r="BH86" s="35">
        <f t="shared" si="61"/>
        <v>52</v>
      </c>
      <c r="BI86" s="37"/>
      <c r="BJ86">
        <v>36</v>
      </c>
      <c r="BK86">
        <v>0</v>
      </c>
      <c r="BQ86" s="35">
        <v>3</v>
      </c>
      <c r="BR86" s="35" t="str">
        <f t="shared" si="62"/>
        <v>Breach for the stars</v>
      </c>
      <c r="BS86" s="35">
        <f>BQ75-BQ$78</f>
        <v>35</v>
      </c>
      <c r="BU86">
        <v>33</v>
      </c>
      <c r="BV86">
        <v>2</v>
      </c>
      <c r="CB86" s="35">
        <v>3</v>
      </c>
      <c r="CC86" s="35" t="str">
        <f t="shared" si="63"/>
        <v>Breach for the stars</v>
      </c>
      <c r="CD86" s="35">
        <f>CB75-CB$78</f>
        <v>22</v>
      </c>
      <c r="CF86">
        <v>33</v>
      </c>
      <c r="CG86">
        <v>2</v>
      </c>
      <c r="CM86" s="35">
        <v>3</v>
      </c>
      <c r="CN86" s="35" t="str">
        <f t="shared" si="64"/>
        <v>Breach for the stars</v>
      </c>
      <c r="CO86" s="35">
        <f t="shared" si="65"/>
        <v>28</v>
      </c>
      <c r="CP86" s="37"/>
      <c r="CQ86">
        <v>33</v>
      </c>
      <c r="CR86">
        <v>2</v>
      </c>
    </row>
    <row r="87" spans="37:96" x14ac:dyDescent="0.2">
      <c r="AK87" t="s">
        <v>214</v>
      </c>
      <c r="AL87">
        <f>AK77-AK75</f>
        <v>-15</v>
      </c>
      <c r="AV87" s="35" t="s">
        <v>209</v>
      </c>
      <c r="AW87" s="35">
        <f>AV$76-AV$77</f>
        <v>36</v>
      </c>
      <c r="AX87" s="35" t="str">
        <f t="shared" si="60"/>
        <v>No</v>
      </c>
      <c r="BG87" s="35" t="s">
        <v>185</v>
      </c>
      <c r="BH87" s="35">
        <f>BG76-BG$78</f>
        <v>36</v>
      </c>
      <c r="BI87" s="37"/>
      <c r="BJ87">
        <v>40</v>
      </c>
      <c r="BK87">
        <v>0</v>
      </c>
      <c r="BQ87" s="35">
        <v>4</v>
      </c>
      <c r="BR87" s="35" t="str">
        <f t="shared" si="62"/>
        <v>Eisha_Action</v>
      </c>
      <c r="BS87" s="35">
        <f>BQ76-BQ$78</f>
        <v>34</v>
      </c>
      <c r="BU87">
        <v>40</v>
      </c>
      <c r="BV87">
        <v>0</v>
      </c>
      <c r="CB87" s="35">
        <v>4</v>
      </c>
      <c r="CC87" s="35" t="str">
        <f t="shared" si="63"/>
        <v>Eisha_Action</v>
      </c>
      <c r="CD87" s="35">
        <f>CB76-CB$78</f>
        <v>12</v>
      </c>
      <c r="CF87">
        <v>40</v>
      </c>
      <c r="CG87">
        <v>0</v>
      </c>
      <c r="CM87" s="35">
        <v>4</v>
      </c>
      <c r="CN87" s="35" t="str">
        <f t="shared" si="64"/>
        <v>Eisha_Action</v>
      </c>
      <c r="CO87" s="35">
        <f t="shared" si="65"/>
        <v>13</v>
      </c>
      <c r="CP87" s="37"/>
      <c r="CQ87">
        <v>40</v>
      </c>
      <c r="CR87">
        <v>0</v>
      </c>
    </row>
    <row r="88" spans="37:96" x14ac:dyDescent="0.2">
      <c r="AK88" t="s">
        <v>215</v>
      </c>
      <c r="AL88">
        <f>AK78-AK75</f>
        <v>-18</v>
      </c>
      <c r="AV88" s="35" t="s">
        <v>214</v>
      </c>
      <c r="AW88" s="35">
        <f>AV78-AV77</f>
        <v>-16</v>
      </c>
      <c r="AX88" s="35" t="str">
        <f t="shared" si="60"/>
        <v>Yes</v>
      </c>
      <c r="BG88" s="35" t="s">
        <v>189</v>
      </c>
      <c r="BH88" s="35">
        <f>BG77-BG$78</f>
        <v>7</v>
      </c>
      <c r="BI88" s="37"/>
      <c r="BQ88" s="35">
        <v>5</v>
      </c>
      <c r="BR88" s="35" t="str">
        <f t="shared" si="62"/>
        <v>Tuchel for school</v>
      </c>
      <c r="BS88" s="35">
        <f>BQ77-BQ$78</f>
        <v>3</v>
      </c>
      <c r="CB88" s="35">
        <v>5</v>
      </c>
      <c r="CC88" s="35" t="str">
        <f t="shared" si="63"/>
        <v>Tuchel for school</v>
      </c>
      <c r="CD88" s="35">
        <f>CB77-CB$78</f>
        <v>1</v>
      </c>
      <c r="CM88" s="35">
        <v>5</v>
      </c>
      <c r="CN88" s="35" t="str">
        <f t="shared" si="64"/>
        <v>NityaMyLove</v>
      </c>
      <c r="CO88" s="35">
        <f t="shared" si="65"/>
        <v>0</v>
      </c>
      <c r="CP88" s="37"/>
    </row>
    <row r="89" spans="37:96" x14ac:dyDescent="0.2">
      <c r="AK89" t="s">
        <v>216</v>
      </c>
      <c r="AL89">
        <f>AK79-AK75</f>
        <v>-75</v>
      </c>
      <c r="AV89" s="35" t="s">
        <v>215</v>
      </c>
      <c r="AW89" s="35">
        <f>AV79-AV77</f>
        <v>-18</v>
      </c>
      <c r="AX89" s="35" t="str">
        <f t="shared" si="60"/>
        <v>Yes</v>
      </c>
      <c r="BG89" s="35" t="s">
        <v>190</v>
      </c>
      <c r="BH89" s="35">
        <f>BG79-BG$78</f>
        <v>-5</v>
      </c>
      <c r="BI89" s="37"/>
      <c r="BQ89" s="35">
        <v>6</v>
      </c>
      <c r="BR89" s="35" t="str">
        <f t="shared" si="62"/>
        <v>NityaMyLove</v>
      </c>
      <c r="BS89" s="35">
        <v>0</v>
      </c>
      <c r="CB89" s="35">
        <v>6</v>
      </c>
      <c r="CC89" s="35" t="str">
        <f t="shared" si="63"/>
        <v>NityaMyLove</v>
      </c>
      <c r="CD89" s="35">
        <v>0</v>
      </c>
      <c r="CM89" s="35">
        <v>6</v>
      </c>
      <c r="CN89" s="35" t="str">
        <f t="shared" si="64"/>
        <v>Tuchel for school</v>
      </c>
      <c r="CO89" s="35">
        <f t="shared" si="65"/>
        <v>-6</v>
      </c>
      <c r="CP89" s="37"/>
    </row>
    <row r="90" spans="37:96" x14ac:dyDescent="0.2">
      <c r="AV90" s="35" t="s">
        <v>216</v>
      </c>
      <c r="AW90" s="35">
        <f>AV80-AV77</f>
        <v>-25</v>
      </c>
      <c r="AX90" s="35" t="str">
        <f t="shared" si="60"/>
        <v>Yes</v>
      </c>
      <c r="BG90" s="35" t="s">
        <v>188</v>
      </c>
      <c r="BH90" s="35">
        <f>BG80-BG$78</f>
        <v>-17</v>
      </c>
      <c r="BI90" s="37"/>
      <c r="BQ90" s="35">
        <v>7</v>
      </c>
      <c r="BR90" s="35" t="str">
        <f t="shared" si="62"/>
        <v>A Quekstion of sports</v>
      </c>
      <c r="BS90" s="35">
        <f>BQ79-BQ$78</f>
        <v>-6</v>
      </c>
      <c r="CB90" s="35">
        <v>7</v>
      </c>
      <c r="CC90" s="35" t="str">
        <f t="shared" si="63"/>
        <v>A Quekstion of sports</v>
      </c>
      <c r="CD90" s="35">
        <f>CB79-CB$78</f>
        <v>-23</v>
      </c>
      <c r="CM90" s="35">
        <v>7</v>
      </c>
      <c r="CN90" s="35" t="str">
        <f t="shared" si="64"/>
        <v>A Quekstion of sports</v>
      </c>
      <c r="CO90" s="35">
        <f t="shared" si="65"/>
        <v>-31</v>
      </c>
      <c r="CP90" s="37"/>
    </row>
    <row r="91" spans="37:96" x14ac:dyDescent="0.2">
      <c r="AV91" s="35" t="s">
        <v>217</v>
      </c>
      <c r="AW91" s="35">
        <f>AV81-AV77</f>
        <v>-89</v>
      </c>
      <c r="AX91" s="35" t="str">
        <f t="shared" si="60"/>
        <v>Yes</v>
      </c>
      <c r="BG91" s="35" t="s">
        <v>191</v>
      </c>
      <c r="BH91" s="35">
        <f t="shared" ref="BH91" si="66">BG81-BG$78</f>
        <v>-104</v>
      </c>
      <c r="BI91" s="37"/>
      <c r="BQ91" s="35">
        <v>8</v>
      </c>
      <c r="BR91" s="35" t="str">
        <f t="shared" si="62"/>
        <v>SeemLess FC</v>
      </c>
      <c r="BS91" s="35">
        <f>BQ80-BQ$78</f>
        <v>-22</v>
      </c>
      <c r="CB91" s="35">
        <v>8</v>
      </c>
      <c r="CC91" s="35" t="str">
        <f t="shared" si="63"/>
        <v>SeemLess FC</v>
      </c>
      <c r="CD91" s="35">
        <f>CB80-CB$78</f>
        <v>-35</v>
      </c>
      <c r="CM91" s="35">
        <v>8</v>
      </c>
      <c r="CN91" s="35" t="str">
        <f t="shared" si="64"/>
        <v>SeemLess FC</v>
      </c>
      <c r="CO91" s="35">
        <f t="shared" si="65"/>
        <v>-42</v>
      </c>
      <c r="CP91" s="37"/>
    </row>
    <row r="92" spans="37:96" x14ac:dyDescent="0.2">
      <c r="BQ92" s="35">
        <v>9</v>
      </c>
      <c r="BR92" s="35" t="str">
        <f t="shared" si="62"/>
        <v>Chris' Team</v>
      </c>
      <c r="BS92" s="35">
        <f>BQ81-BQ$78</f>
        <v>-137</v>
      </c>
      <c r="CB92" s="35">
        <v>9</v>
      </c>
      <c r="CC92" s="35" t="str">
        <f t="shared" si="63"/>
        <v>Chris' Team</v>
      </c>
      <c r="CD92" s="35">
        <f>CB81-CB$78</f>
        <v>-164</v>
      </c>
      <c r="CM92" s="35">
        <v>9</v>
      </c>
      <c r="CN92" s="35" t="str">
        <f t="shared" si="64"/>
        <v>Chris' Team</v>
      </c>
      <c r="CO92" s="35">
        <f t="shared" si="65"/>
        <v>-170</v>
      </c>
      <c r="CP92" s="37"/>
    </row>
    <row r="93" spans="37:96" x14ac:dyDescent="0.2">
      <c r="BF93" s="34" t="s">
        <v>189</v>
      </c>
      <c r="BG93" s="34">
        <v>647</v>
      </c>
    </row>
    <row r="94" spans="37:96" x14ac:dyDescent="0.2">
      <c r="BF94" s="34" t="s">
        <v>185</v>
      </c>
      <c r="BG94" s="34">
        <v>676</v>
      </c>
    </row>
    <row r="95" spans="37:96" x14ac:dyDescent="0.2">
      <c r="BF95" s="34" t="s">
        <v>191</v>
      </c>
      <c r="BG95" s="34">
        <v>536</v>
      </c>
    </row>
    <row r="96" spans="37:96" x14ac:dyDescent="0.2">
      <c r="BF96" s="34" t="s">
        <v>186</v>
      </c>
      <c r="BG96" s="34">
        <v>692</v>
      </c>
    </row>
    <row r="97" spans="58:59" x14ac:dyDescent="0.2">
      <c r="BF97" s="34" t="s">
        <v>187</v>
      </c>
      <c r="BG97" s="32">
        <v>640</v>
      </c>
    </row>
    <row r="98" spans="58:59" x14ac:dyDescent="0.2">
      <c r="BF98" s="34" t="s">
        <v>188</v>
      </c>
      <c r="BG98" s="34">
        <v>623</v>
      </c>
    </row>
    <row r="99" spans="58:59" x14ac:dyDescent="0.2">
      <c r="BF99" s="34" t="s">
        <v>183</v>
      </c>
      <c r="BG99" s="34">
        <v>707</v>
      </c>
    </row>
    <row r="100" spans="58:59" x14ac:dyDescent="0.2">
      <c r="BF100" s="34" t="s">
        <v>184</v>
      </c>
      <c r="BG100" s="34">
        <v>713</v>
      </c>
    </row>
    <row r="101" spans="58:59" x14ac:dyDescent="0.2">
      <c r="BF101" s="34" t="s">
        <v>190</v>
      </c>
      <c r="BG101" s="34">
        <v>635</v>
      </c>
    </row>
  </sheetData>
  <autoFilter ref="CK5:CT64" xr:uid="{00000000-0001-0000-0000-000000000000}"/>
  <sortState xmlns:xlrd2="http://schemas.microsoft.com/office/spreadsheetml/2017/richdata2" ref="CK73:CO81">
    <sortCondition ref="CK73:CK81"/>
  </sortState>
  <conditionalFormatting sqref="J6:K20">
    <cfRule type="dataBar" priority="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{4E342F5E-595C-4C0C-8EC8-BD49F90E519E}</x14:id>
        </ext>
      </extLst>
    </cfRule>
  </conditionalFormatting>
  <conditionalFormatting sqref="B6:B20">
    <cfRule type="cellIs" dxfId="10" priority="42" operator="lessThan">
      <formula>35</formula>
    </cfRule>
  </conditionalFormatting>
  <conditionalFormatting sqref="M6:M20">
    <cfRule type="cellIs" dxfId="9" priority="40" operator="lessThan">
      <formula>35</formula>
    </cfRule>
  </conditionalFormatting>
  <conditionalFormatting sqref="U6:V53">
    <cfRule type="dataBar" priority="3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{3BA12B12-48DF-43A0-A349-E3A999179A3C}</x14:id>
        </ext>
      </extLst>
    </cfRule>
  </conditionalFormatting>
  <conditionalFormatting sqref="Q6:Q12 Q14 Q18:Q19 Q16">
    <cfRule type="cellIs" dxfId="8" priority="36" operator="between">
      <formula>0</formula>
      <formula>0.25</formula>
    </cfRule>
  </conditionalFormatting>
  <conditionalFormatting sqref="AF6:AF62">
    <cfRule type="dataBar" priority="4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{402CB9A2-859F-4A93-B8EC-0108AD086DAA}</x14:id>
        </ext>
      </extLst>
    </cfRule>
  </conditionalFormatting>
  <conditionalFormatting sqref="AB6:AB62 AM46:AM63 AX54:AX63 BI14 BI54:BI63 BT6:BT65 CE6:CE64">
    <cfRule type="cellIs" dxfId="7" priority="27" operator="greaterThan">
      <formula>0.2</formula>
    </cfRule>
  </conditionalFormatting>
  <conditionalFormatting sqref="AM6:AM45">
    <cfRule type="cellIs" dxfId="6" priority="26" operator="greaterThan">
      <formula>0.2</formula>
    </cfRule>
  </conditionalFormatting>
  <conditionalFormatting sqref="AQ6:AQ63">
    <cfRule type="dataBar" priority="5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{55E26E17-0A3D-45E1-8AE0-957A317637FD}</x14:id>
        </ext>
      </extLst>
    </cfRule>
  </conditionalFormatting>
  <conditionalFormatting sqref="AX6:AX53 AX64:AX65">
    <cfRule type="cellIs" dxfId="5" priority="24" operator="greaterThan">
      <formula>0.2</formula>
    </cfRule>
  </conditionalFormatting>
  <conditionalFormatting sqref="BB6:BB65">
    <cfRule type="dataBar" priority="5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{CE0B22EE-E014-4F82-AD9E-E239CFE21CFE}</x14:id>
        </ext>
      </extLst>
    </cfRule>
  </conditionalFormatting>
  <conditionalFormatting sqref="BM6:BM65">
    <cfRule type="dataBar" priority="2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{4704354D-4F0B-4307-BD21-E484A698E635}</x14:id>
        </ext>
      </extLst>
    </cfRule>
  </conditionalFormatting>
  <conditionalFormatting sqref="BI6:BI13 BI64:BI65 BI15:BI53">
    <cfRule type="cellIs" dxfId="4" priority="20" operator="greaterThan">
      <formula>0.2</formula>
    </cfRule>
  </conditionalFormatting>
  <conditionalFormatting sqref="BX6:BX65">
    <cfRule type="dataBar" priority="6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{934A43A1-9867-674F-8F4C-C74BB57ADBA8}</x14:id>
        </ext>
      </extLst>
    </cfRule>
  </conditionalFormatting>
  <conditionalFormatting sqref="CI6:CI64">
    <cfRule type="dataBar" priority="7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{795010F8-6481-7742-97EA-973F6D0C55AD}</x14:id>
        </ext>
      </extLst>
    </cfRule>
  </conditionalFormatting>
  <conditionalFormatting sqref="CP6:CP64">
    <cfRule type="cellIs" dxfId="3" priority="2" operator="greaterThan">
      <formula>0.2</formula>
    </cfRule>
  </conditionalFormatting>
  <conditionalFormatting sqref="CT6:CT64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{D30D3BE3-3EA4-464B-817D-AC0486EE90A2}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E342F5E-595C-4C0C-8EC8-BD49F90E519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J6:K20</xm:sqref>
        </x14:conditionalFormatting>
        <x14:conditionalFormatting xmlns:xm="http://schemas.microsoft.com/office/excel/2006/main">
          <x14:cfRule type="dataBar" id="{3BA12B12-48DF-43A0-A349-E3A999179A3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U6:V53</xm:sqref>
        </x14:conditionalFormatting>
        <x14:conditionalFormatting xmlns:xm="http://schemas.microsoft.com/office/excel/2006/main">
          <x14:cfRule type="dataBar" id="{402CB9A2-859F-4A93-B8EC-0108AD086DA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AF6:AF62</xm:sqref>
        </x14:conditionalFormatting>
        <x14:conditionalFormatting xmlns:xm="http://schemas.microsoft.com/office/excel/2006/main">
          <x14:cfRule type="dataBar" id="{55E26E17-0A3D-45E1-8AE0-957A317637F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AQ6:AQ63</xm:sqref>
        </x14:conditionalFormatting>
        <x14:conditionalFormatting xmlns:xm="http://schemas.microsoft.com/office/excel/2006/main">
          <x14:cfRule type="dataBar" id="{CE0B22EE-E014-4F82-AD9E-E239CFE21CF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BB6:BB65</xm:sqref>
        </x14:conditionalFormatting>
        <x14:conditionalFormatting xmlns:xm="http://schemas.microsoft.com/office/excel/2006/main">
          <x14:cfRule type="dataBar" id="{4704354D-4F0B-4307-BD21-E484A698E63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BM6:BM65</xm:sqref>
        </x14:conditionalFormatting>
        <x14:conditionalFormatting xmlns:xm="http://schemas.microsoft.com/office/excel/2006/main">
          <x14:cfRule type="dataBar" id="{934A43A1-9867-674F-8F4C-C74BB57ADBA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BX6:BX65</xm:sqref>
        </x14:conditionalFormatting>
        <x14:conditionalFormatting xmlns:xm="http://schemas.microsoft.com/office/excel/2006/main">
          <x14:cfRule type="dataBar" id="{795010F8-6481-7742-97EA-973F6D0C55A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CI6:CI64</xm:sqref>
        </x14:conditionalFormatting>
        <x14:conditionalFormatting xmlns:xm="http://schemas.microsoft.com/office/excel/2006/main">
          <x14:cfRule type="dataBar" id="{D30D3BE3-3EA4-464B-817D-AC0486EE90A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CT6:CT64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C27"/>
  <sheetViews>
    <sheetView workbookViewId="0">
      <pane xSplit="1" topLeftCell="BM1" activePane="topRight" state="frozen"/>
      <selection activeCell="A7" sqref="A7"/>
      <selection pane="topRight" activeCell="BT4" sqref="BT4"/>
    </sheetView>
  </sheetViews>
  <sheetFormatPr baseColWidth="10" defaultColWidth="8.83203125" defaultRowHeight="15" x14ac:dyDescent="0.2"/>
  <cols>
    <col min="1" max="1" width="19.5" bestFit="1" customWidth="1"/>
    <col min="2" max="2" width="13.5" bestFit="1" customWidth="1"/>
    <col min="3" max="3" width="12.83203125" bestFit="1" customWidth="1"/>
    <col min="4" max="4" width="10.5" bestFit="1" customWidth="1"/>
    <col min="5" max="5" width="4.1640625" bestFit="1" customWidth="1"/>
    <col min="6" max="6" width="2.33203125" bestFit="1" customWidth="1"/>
    <col min="7" max="7" width="2.33203125" customWidth="1"/>
    <col min="8" max="8" width="13.5" bestFit="1" customWidth="1"/>
    <col min="9" max="9" width="15.6640625" bestFit="1" customWidth="1"/>
    <col min="10" max="10" width="3.1640625" bestFit="1" customWidth="1"/>
    <col min="11" max="11" width="3" bestFit="1" customWidth="1"/>
    <col min="12" max="12" width="3.1640625" bestFit="1" customWidth="1"/>
    <col min="13" max="13" width="3.83203125" bestFit="1" customWidth="1"/>
    <col min="14" max="14" width="3.83203125" customWidth="1"/>
    <col min="15" max="15" width="3.1640625" bestFit="1" customWidth="1"/>
    <col min="16" max="16" width="3.33203125" bestFit="1" customWidth="1"/>
    <col min="17" max="17" width="3.6640625" bestFit="1" customWidth="1"/>
    <col min="18" max="18" width="6.6640625" bestFit="1" customWidth="1"/>
    <col min="19" max="19" width="4.5" bestFit="1" customWidth="1"/>
    <col min="20" max="20" width="11.1640625" bestFit="1" customWidth="1"/>
    <col min="21" max="21" width="4.6640625" bestFit="1" customWidth="1"/>
    <col min="22" max="22" width="6.33203125" bestFit="1" customWidth="1"/>
    <col min="23" max="25" width="4.5" customWidth="1"/>
    <col min="26" max="26" width="2.1640625" bestFit="1" customWidth="1"/>
    <col min="27" max="27" width="4.5" customWidth="1"/>
    <col min="28" max="28" width="9.6640625" bestFit="1" customWidth="1"/>
    <col min="29" max="29" width="8.33203125" bestFit="1" customWidth="1"/>
    <col min="30" max="30" width="8.33203125" customWidth="1"/>
    <col min="31" max="31" width="6.5" bestFit="1" customWidth="1"/>
    <col min="32" max="32" width="13.33203125" bestFit="1" customWidth="1"/>
    <col min="33" max="33" width="13.33203125" customWidth="1"/>
    <col min="34" max="34" width="3.1640625" bestFit="1" customWidth="1"/>
    <col min="35" max="35" width="5" bestFit="1" customWidth="1"/>
    <col min="36" max="36" width="9.1640625" bestFit="1" customWidth="1"/>
    <col min="37" max="37" width="6.83203125" bestFit="1" customWidth="1"/>
    <col min="38" max="38" width="8.5" bestFit="1" customWidth="1"/>
    <col min="39" max="39" width="5.83203125" bestFit="1" customWidth="1"/>
    <col min="40" max="40" width="8.5" bestFit="1" customWidth="1"/>
    <col min="41" max="41" width="4.33203125" bestFit="1" customWidth="1"/>
    <col min="42" max="42" width="12.5" bestFit="1" customWidth="1"/>
    <col min="48" max="48" width="13.5" bestFit="1" customWidth="1"/>
    <col min="49" max="49" width="15.6640625" bestFit="1" customWidth="1"/>
    <col min="60" max="60" width="11.1640625" bestFit="1" customWidth="1"/>
    <col min="72" max="72" width="13.33203125" bestFit="1" customWidth="1"/>
    <col min="73" max="73" width="12.5" bestFit="1" customWidth="1"/>
  </cols>
  <sheetData>
    <row r="1" spans="1:81" ht="21" x14ac:dyDescent="0.25">
      <c r="A1" s="15" t="s">
        <v>67</v>
      </c>
    </row>
    <row r="2" spans="1:81" ht="16" x14ac:dyDescent="0.2">
      <c r="B2" s="14" t="s">
        <v>68</v>
      </c>
      <c r="AP2" s="13" t="s">
        <v>123</v>
      </c>
    </row>
    <row r="3" spans="1:81" x14ac:dyDescent="0.2">
      <c r="A3" s="18" t="s">
        <v>69</v>
      </c>
      <c r="B3" s="20" t="s">
        <v>114</v>
      </c>
      <c r="C3" s="20" t="s">
        <v>79</v>
      </c>
      <c r="D3" s="20" t="s">
        <v>80</v>
      </c>
      <c r="E3" s="20" t="s">
        <v>102</v>
      </c>
      <c r="F3" s="20" t="s">
        <v>84</v>
      </c>
      <c r="G3" s="20" t="s">
        <v>100</v>
      </c>
      <c r="H3" s="20" t="s">
        <v>111</v>
      </c>
      <c r="I3" s="20" t="s">
        <v>122</v>
      </c>
      <c r="J3" s="20" t="s">
        <v>81</v>
      </c>
      <c r="K3" s="20" t="s">
        <v>89</v>
      </c>
      <c r="L3" s="20" t="s">
        <v>90</v>
      </c>
      <c r="M3" s="20" t="s">
        <v>91</v>
      </c>
      <c r="N3" s="20" t="s">
        <v>106</v>
      </c>
      <c r="O3" s="20" t="s">
        <v>92</v>
      </c>
      <c r="P3" s="20" t="s">
        <v>93</v>
      </c>
      <c r="Q3" s="20" t="s">
        <v>94</v>
      </c>
      <c r="R3" s="20" t="s">
        <v>96</v>
      </c>
      <c r="S3" s="20" t="s">
        <v>97</v>
      </c>
      <c r="T3" s="20" t="s">
        <v>107</v>
      </c>
      <c r="U3" s="20" t="s">
        <v>112</v>
      </c>
      <c r="V3" s="20" t="s">
        <v>113</v>
      </c>
      <c r="W3" s="20" t="s">
        <v>98</v>
      </c>
      <c r="X3" s="20" t="s">
        <v>83</v>
      </c>
      <c r="Y3" s="20" t="s">
        <v>99</v>
      </c>
      <c r="Z3" s="20" t="s">
        <v>85</v>
      </c>
      <c r="AA3" s="20" t="s">
        <v>101</v>
      </c>
      <c r="AB3" s="20" t="s">
        <v>121</v>
      </c>
      <c r="AC3" s="20" t="s">
        <v>103</v>
      </c>
      <c r="AD3" s="20" t="s">
        <v>104</v>
      </c>
      <c r="AE3" s="20" t="s">
        <v>105</v>
      </c>
      <c r="AF3" s="20" t="s">
        <v>108</v>
      </c>
      <c r="AG3" s="20" t="s">
        <v>120</v>
      </c>
      <c r="AH3" s="20" t="s">
        <v>109</v>
      </c>
      <c r="AI3" s="20" t="s">
        <v>110</v>
      </c>
      <c r="AJ3" s="20" t="s">
        <v>115</v>
      </c>
      <c r="AK3" s="20" t="s">
        <v>117</v>
      </c>
      <c r="AL3" s="20" t="s">
        <v>116</v>
      </c>
      <c r="AM3" s="20" t="s">
        <v>118</v>
      </c>
      <c r="AN3" s="20" t="s">
        <v>119</v>
      </c>
      <c r="AO3" s="20" t="s">
        <v>95</v>
      </c>
      <c r="AP3" s="16" t="s">
        <v>114</v>
      </c>
      <c r="AQ3" s="16" t="s">
        <v>79</v>
      </c>
      <c r="AR3" s="16" t="s">
        <v>80</v>
      </c>
      <c r="AS3" s="16" t="s">
        <v>102</v>
      </c>
      <c r="AT3" s="16" t="s">
        <v>84</v>
      </c>
      <c r="AU3" s="16" t="s">
        <v>100</v>
      </c>
      <c r="AV3" s="16" t="s">
        <v>111</v>
      </c>
      <c r="AW3" s="16" t="s">
        <v>122</v>
      </c>
      <c r="AX3" s="16" t="s">
        <v>81</v>
      </c>
      <c r="AY3" s="16" t="s">
        <v>89</v>
      </c>
      <c r="AZ3" s="16" t="s">
        <v>90</v>
      </c>
      <c r="BA3" s="16" t="s">
        <v>91</v>
      </c>
      <c r="BB3" s="16" t="s">
        <v>106</v>
      </c>
      <c r="BC3" s="16" t="s">
        <v>92</v>
      </c>
      <c r="BD3" s="16" t="s">
        <v>93</v>
      </c>
      <c r="BE3" s="16" t="s">
        <v>94</v>
      </c>
      <c r="BF3" s="16" t="s">
        <v>96</v>
      </c>
      <c r="BG3" s="16" t="s">
        <v>97</v>
      </c>
      <c r="BH3" s="16" t="s">
        <v>107</v>
      </c>
      <c r="BI3" s="16" t="s">
        <v>112</v>
      </c>
      <c r="BJ3" s="16" t="s">
        <v>113</v>
      </c>
      <c r="BK3" s="16" t="s">
        <v>98</v>
      </c>
      <c r="BL3" s="16" t="s">
        <v>83</v>
      </c>
      <c r="BM3" s="16" t="s">
        <v>99</v>
      </c>
      <c r="BN3" s="16" t="s">
        <v>85</v>
      </c>
      <c r="BO3" s="16" t="s">
        <v>101</v>
      </c>
      <c r="BP3" s="16" t="s">
        <v>121</v>
      </c>
      <c r="BQ3" s="16" t="s">
        <v>103</v>
      </c>
      <c r="BR3" s="16" t="s">
        <v>104</v>
      </c>
      <c r="BS3" s="16" t="s">
        <v>105</v>
      </c>
      <c r="BT3" s="16" t="s">
        <v>108</v>
      </c>
      <c r="BU3" s="16" t="s">
        <v>120</v>
      </c>
      <c r="BV3" s="16" t="s">
        <v>109</v>
      </c>
      <c r="BW3" s="16" t="s">
        <v>110</v>
      </c>
      <c r="BX3" s="16" t="s">
        <v>115</v>
      </c>
      <c r="BY3" s="16" t="s">
        <v>117</v>
      </c>
      <c r="BZ3" s="16" t="s">
        <v>116</v>
      </c>
      <c r="CA3" s="16" t="s">
        <v>118</v>
      </c>
      <c r="CB3" s="16" t="s">
        <v>119</v>
      </c>
      <c r="CC3" s="16" t="s">
        <v>95</v>
      </c>
    </row>
    <row r="4" spans="1:81" x14ac:dyDescent="0.2">
      <c r="A4" s="19" t="s">
        <v>48</v>
      </c>
      <c r="B4" s="17">
        <v>86</v>
      </c>
      <c r="C4" s="17" t="s">
        <v>82</v>
      </c>
      <c r="D4" s="17">
        <v>1</v>
      </c>
      <c r="E4" s="17">
        <v>1</v>
      </c>
      <c r="F4" s="17">
        <v>0</v>
      </c>
      <c r="G4" s="17">
        <v>2</v>
      </c>
      <c r="H4" s="17">
        <v>1</v>
      </c>
      <c r="I4" s="17">
        <v>0</v>
      </c>
      <c r="J4" s="17">
        <f t="shared" ref="J4:J9" si="0">IF(AND(B4&gt;=60,I4=0,OR(C4="D",C4="GK")),1,0)</f>
        <v>1</v>
      </c>
      <c r="K4" s="17">
        <v>0</v>
      </c>
      <c r="L4" s="17">
        <v>0</v>
      </c>
      <c r="M4" s="17">
        <v>0</v>
      </c>
      <c r="N4" s="17">
        <v>0</v>
      </c>
      <c r="O4" s="17">
        <v>0</v>
      </c>
      <c r="P4" s="17">
        <v>0</v>
      </c>
      <c r="Q4" s="17">
        <v>0</v>
      </c>
      <c r="R4" s="17">
        <v>2</v>
      </c>
      <c r="S4" s="17">
        <v>0</v>
      </c>
      <c r="T4" s="17">
        <v>0</v>
      </c>
      <c r="U4" s="17">
        <v>0</v>
      </c>
      <c r="V4" s="17">
        <v>0</v>
      </c>
      <c r="W4" s="17">
        <v>0</v>
      </c>
      <c r="X4" s="17">
        <v>1</v>
      </c>
      <c r="Y4" s="17">
        <v>1</v>
      </c>
      <c r="Z4" s="17">
        <v>3</v>
      </c>
      <c r="AA4" s="17">
        <v>1</v>
      </c>
      <c r="AB4" s="17">
        <v>57</v>
      </c>
      <c r="AC4" s="17">
        <v>0</v>
      </c>
      <c r="AD4" s="17">
        <v>1</v>
      </c>
      <c r="AE4" s="17">
        <v>0</v>
      </c>
      <c r="AF4" s="17">
        <v>1</v>
      </c>
      <c r="AG4" s="17">
        <v>2</v>
      </c>
      <c r="AH4" s="17">
        <v>0</v>
      </c>
      <c r="AI4" s="17">
        <v>0</v>
      </c>
      <c r="AJ4" s="17">
        <f t="shared" ref="AJ4:AJ9" si="1">IF(AND(OR(C4="D",C4="GK"),D4=1),12,IF(AND(C4="M",D4=1),18,IF(AND(C4="F",D4=1),24,0)))</f>
        <v>12</v>
      </c>
      <c r="AK4" s="17">
        <f t="shared" ref="AK4:AK9" si="2">IF(AND(OR(C4="D",C4="GK"),J4=1),12,0)</f>
        <v>12</v>
      </c>
      <c r="AL4" s="17">
        <f t="shared" ref="AL4:AL9" si="3">QUOTIENT((W4+X4+Y4),2)</f>
        <v>1</v>
      </c>
      <c r="AM4" s="17">
        <f t="shared" ref="AM4:AM9" si="4">QUOTIENT(Z4,3)</f>
        <v>1</v>
      </c>
      <c r="AN4" s="3">
        <f>IF(AB4&gt;=30,IF(AC4=1,2,IF(AD4=1,4,IF(AE4=1,6,0))),0)</f>
        <v>4</v>
      </c>
      <c r="AO4" s="17">
        <f>IF(B4&gt;60,6,3)+F4*9+AJ4+L4*15+K4*2+R4*1+S4*3+AK4+AL4+G4+AG4*2+AA4*1+E4*3+AN4+(-3)*N4+(-6)*M4+(-3)*O4+(-9)*P4+(-6)*Q4+(-3)*T4+(-3)*U4+(-1)*V4+AF4*(-1)+AH4*(-1)+(-1)*AI4+(-1)*H4+AM4</f>
        <v>46</v>
      </c>
      <c r="AP4">
        <v>90</v>
      </c>
      <c r="AQ4" s="3" t="s">
        <v>82</v>
      </c>
      <c r="AR4">
        <v>0</v>
      </c>
      <c r="AS4">
        <v>0</v>
      </c>
      <c r="AT4">
        <v>0</v>
      </c>
      <c r="AU4">
        <v>5</v>
      </c>
      <c r="AV4">
        <v>0</v>
      </c>
      <c r="AW4">
        <v>0</v>
      </c>
      <c r="AX4" s="3">
        <f t="shared" ref="AX4:AX17" si="5">IF(AND(AP4&gt;=60,AW4=0,OR(AQ4="D",AQ4="GK")),1,0)</f>
        <v>1</v>
      </c>
      <c r="AY4" s="3">
        <v>0</v>
      </c>
      <c r="AZ4" s="3">
        <v>0</v>
      </c>
      <c r="BA4" s="3">
        <v>0</v>
      </c>
      <c r="BB4" s="3">
        <v>0</v>
      </c>
      <c r="BC4" s="3">
        <v>0</v>
      </c>
      <c r="BD4" s="3">
        <v>0</v>
      </c>
      <c r="BE4" s="3">
        <v>0</v>
      </c>
      <c r="BF4" s="3">
        <v>1</v>
      </c>
      <c r="BG4" s="3">
        <v>0</v>
      </c>
      <c r="BH4" s="3">
        <v>0</v>
      </c>
      <c r="BI4" s="3">
        <v>0</v>
      </c>
      <c r="BJ4" s="3">
        <v>0</v>
      </c>
      <c r="BK4" s="3">
        <v>0</v>
      </c>
      <c r="BL4" s="3">
        <v>3</v>
      </c>
      <c r="BM4" s="3">
        <v>4</v>
      </c>
      <c r="BN4" s="3">
        <v>3</v>
      </c>
      <c r="BO4" s="3">
        <v>0</v>
      </c>
      <c r="BP4" s="3">
        <v>60</v>
      </c>
      <c r="BQ4" s="3">
        <v>1</v>
      </c>
      <c r="BR4" s="3">
        <v>0</v>
      </c>
      <c r="BS4" s="3">
        <v>0</v>
      </c>
      <c r="BX4" s="3">
        <f>IF(AND(OR(AQ4="D",AQ4="GK"),AR4=1),12,IF(AND(AQ4="M",AR4=1),18,IF(AND(AQ4="F",AR4=1),24,0)))</f>
        <v>0</v>
      </c>
      <c r="BY4" s="3">
        <f>IF(AND(OR(AQ4="D",AQ4="GK"),AX4=1),12,0)</f>
        <v>12</v>
      </c>
      <c r="BZ4" s="3">
        <f>QUOTIENT((BK4+BL4+BM4),2)</f>
        <v>3</v>
      </c>
      <c r="CA4" s="3">
        <f>QUOTIENT(BN4,3)</f>
        <v>1</v>
      </c>
      <c r="CB4" s="3">
        <f>IF(BP4&gt;=30,IF(BQ4=1,2,IF(BR4=1,4,IF(BS4=1,6,0))),0)</f>
        <v>2</v>
      </c>
      <c r="CC4" s="21">
        <f>IF(AP4&gt;60,6,3)+AT4*9+BX4+AZ4*15+AY4*2+BF4*1+BG4*3+BY4+BZ4+AU4+BU4*2+BO4*1+AS4*3+CB4+(-3)*BB4+(-6)*BA4+(-3)*BC4+(-9)*BD4+(-6)*BE4+(-3)*BH4+(-3)*BI4+(-1)*BJ4+BT4*(-1)+BV4*(-1)+(-1)*BW4+(-1)*AV4+CA4</f>
        <v>30</v>
      </c>
    </row>
    <row r="5" spans="1:81" x14ac:dyDescent="0.2">
      <c r="A5" s="19" t="s">
        <v>124</v>
      </c>
      <c r="B5" s="17">
        <v>67</v>
      </c>
      <c r="C5" s="17" t="s">
        <v>82</v>
      </c>
      <c r="D5" s="17">
        <v>0</v>
      </c>
      <c r="E5" s="17">
        <v>0</v>
      </c>
      <c r="F5" s="17">
        <v>0</v>
      </c>
      <c r="G5" s="17">
        <v>0</v>
      </c>
      <c r="H5" s="17">
        <v>1</v>
      </c>
      <c r="I5" s="17">
        <v>0</v>
      </c>
      <c r="J5" s="17">
        <f t="shared" si="0"/>
        <v>1</v>
      </c>
      <c r="K5" s="17">
        <v>0</v>
      </c>
      <c r="L5" s="17">
        <v>0</v>
      </c>
      <c r="M5" s="17">
        <v>0</v>
      </c>
      <c r="N5" s="17">
        <v>0</v>
      </c>
      <c r="O5" s="17">
        <v>0</v>
      </c>
      <c r="P5" s="17">
        <v>0</v>
      </c>
      <c r="Q5" s="17">
        <v>0</v>
      </c>
      <c r="R5" s="17">
        <v>0</v>
      </c>
      <c r="S5" s="17">
        <v>0</v>
      </c>
      <c r="T5" s="17">
        <v>0</v>
      </c>
      <c r="U5" s="17">
        <v>0</v>
      </c>
      <c r="V5" s="17">
        <v>0</v>
      </c>
      <c r="W5" s="17">
        <v>0</v>
      </c>
      <c r="X5" s="17">
        <v>1</v>
      </c>
      <c r="Y5" s="17">
        <v>0</v>
      </c>
      <c r="Z5" s="17">
        <v>6</v>
      </c>
      <c r="AA5" s="17">
        <v>0</v>
      </c>
      <c r="AB5" s="17">
        <v>65</v>
      </c>
      <c r="AC5" s="17">
        <v>0</v>
      </c>
      <c r="AD5" s="17">
        <v>0</v>
      </c>
      <c r="AE5" s="17">
        <v>1</v>
      </c>
      <c r="AF5" s="17">
        <v>0</v>
      </c>
      <c r="AG5" s="17">
        <v>0</v>
      </c>
      <c r="AH5" s="17">
        <v>0</v>
      </c>
      <c r="AI5" s="17">
        <v>0</v>
      </c>
      <c r="AJ5" s="17">
        <f t="shared" si="1"/>
        <v>0</v>
      </c>
      <c r="AK5" s="17">
        <f t="shared" si="2"/>
        <v>12</v>
      </c>
      <c r="AL5" s="17">
        <f t="shared" si="3"/>
        <v>0</v>
      </c>
      <c r="AM5" s="17">
        <f t="shared" si="4"/>
        <v>2</v>
      </c>
      <c r="AN5" s="3">
        <f t="shared" ref="AN5:AN16" si="6">IF(AB5&gt;=30,IF(AC5=1,2,IF(AD5=1,4,IF(AE5=1,6,0))),0)</f>
        <v>6</v>
      </c>
      <c r="AO5" s="17">
        <f t="shared" ref="AO5:AO22" si="7">IF(B5&gt;60,6,3)+F5*9+AJ5+L5*15+K5*2+R5*1+S5*3+AK5+AL5+G5+AG5*2+AA5*1+E5*3+AN5+(-3)*N5+(-6)*M5+(-3)*O5+(-9)*P5+(-6)*Q5+(-3)*T5+(-3)*U5+(-1)*V5+AF5*(-1)+AH5*(-1)+(-1)*AI5+(-1)*H5+AM5</f>
        <v>25</v>
      </c>
      <c r="AP5">
        <v>90</v>
      </c>
      <c r="AQ5" s="3" t="s">
        <v>82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 s="3">
        <f t="shared" si="5"/>
        <v>1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</v>
      </c>
      <c r="BH5" s="3">
        <v>0</v>
      </c>
      <c r="BI5" s="3">
        <v>0</v>
      </c>
      <c r="BJ5" s="3">
        <v>0</v>
      </c>
      <c r="BK5" s="3">
        <v>1</v>
      </c>
      <c r="BL5" s="3">
        <v>2</v>
      </c>
      <c r="BM5" s="3">
        <v>2</v>
      </c>
      <c r="BN5" s="3">
        <v>2</v>
      </c>
      <c r="BO5" s="3">
        <v>0</v>
      </c>
      <c r="BP5" s="3">
        <v>88</v>
      </c>
      <c r="BQ5" s="3">
        <v>0</v>
      </c>
      <c r="BR5" s="3">
        <v>0</v>
      </c>
      <c r="BS5">
        <v>1</v>
      </c>
      <c r="BX5" s="3">
        <f t="shared" ref="BX5:BX17" si="8">IF(AND(OR(AQ5="D",AQ5="GK"),AR5=1),12,IF(AND(AQ5="M",AR5=1),18,IF(AND(AQ5="F",AR5=1),24,0)))</f>
        <v>0</v>
      </c>
      <c r="BY5" s="3">
        <f t="shared" ref="BY5:BY17" si="9">IF(AND(OR(AQ5="D",AQ5="GK"),AX5=1),12,0)</f>
        <v>12</v>
      </c>
      <c r="BZ5" s="3">
        <f t="shared" ref="BZ5:BZ17" si="10">QUOTIENT((BK5+BL5+BM5),2)</f>
        <v>2</v>
      </c>
      <c r="CA5" s="3">
        <f t="shared" ref="CA5:CA17" si="11">QUOTIENT(BN5,3)</f>
        <v>0</v>
      </c>
      <c r="CB5" s="3">
        <f t="shared" ref="CB5:CB17" si="12">IF(BP5&gt;=30,IF(BQ5=1,2,IF(BR5=1,4,IF(BS5=1,6,0))),0)</f>
        <v>6</v>
      </c>
      <c r="CC5" s="21">
        <f t="shared" ref="CC5:CC17" si="13">IF(AP5&gt;60,6,3)+AT5*9+BX5+AZ5*15+AY5*2+BF5*1+BG5*3+BY5+BZ5+AU5+BU5*2+BO5*1+AS5*3+CB5+(-3)*BB5+(-6)*BA5+(-3)*BC5+(-9)*BD5+(-6)*BE5+(-3)*BH5+(-3)*BI5+(-1)*BJ5+BT5*(-1)+BV5*(-1)+(-1)*BW5+(-1)*AV5+CA5</f>
        <v>26</v>
      </c>
    </row>
    <row r="6" spans="1:81" x14ac:dyDescent="0.2">
      <c r="A6" s="19" t="s">
        <v>57</v>
      </c>
      <c r="B6" s="17">
        <v>90</v>
      </c>
      <c r="C6" s="17" t="s">
        <v>82</v>
      </c>
      <c r="D6" s="17">
        <v>0</v>
      </c>
      <c r="E6" s="17">
        <v>0</v>
      </c>
      <c r="F6" s="17">
        <v>0</v>
      </c>
      <c r="G6" s="17">
        <v>0</v>
      </c>
      <c r="H6" s="17">
        <v>0</v>
      </c>
      <c r="I6" s="17">
        <v>0</v>
      </c>
      <c r="J6" s="17">
        <f t="shared" si="0"/>
        <v>1</v>
      </c>
      <c r="K6" s="17">
        <v>0</v>
      </c>
      <c r="L6" s="17">
        <v>0</v>
      </c>
      <c r="M6" s="17">
        <v>0</v>
      </c>
      <c r="N6" s="17">
        <v>0</v>
      </c>
      <c r="O6" s="17">
        <v>0</v>
      </c>
      <c r="P6" s="17">
        <v>0</v>
      </c>
      <c r="Q6" s="17">
        <v>0</v>
      </c>
      <c r="R6" s="17">
        <v>0</v>
      </c>
      <c r="S6" s="17">
        <v>0</v>
      </c>
      <c r="T6" s="17">
        <v>0</v>
      </c>
      <c r="U6" s="17">
        <v>0</v>
      </c>
      <c r="V6" s="17">
        <v>0</v>
      </c>
      <c r="W6" s="17">
        <v>0</v>
      </c>
      <c r="X6" s="17">
        <v>3</v>
      </c>
      <c r="Y6" s="17">
        <v>3</v>
      </c>
      <c r="Z6" s="17">
        <v>7</v>
      </c>
      <c r="AA6" s="17">
        <v>0</v>
      </c>
      <c r="AB6" s="17">
        <v>111</v>
      </c>
      <c r="AC6" s="17">
        <v>0</v>
      </c>
      <c r="AD6" s="17">
        <v>0</v>
      </c>
      <c r="AE6" s="17">
        <v>1</v>
      </c>
      <c r="AF6" s="17">
        <v>0</v>
      </c>
      <c r="AG6" s="17">
        <v>0</v>
      </c>
      <c r="AH6" s="17">
        <v>2</v>
      </c>
      <c r="AI6" s="17">
        <v>0</v>
      </c>
      <c r="AJ6" s="17">
        <f t="shared" si="1"/>
        <v>0</v>
      </c>
      <c r="AK6" s="17">
        <f t="shared" si="2"/>
        <v>12</v>
      </c>
      <c r="AL6" s="17">
        <f t="shared" si="3"/>
        <v>3</v>
      </c>
      <c r="AM6" s="17">
        <f t="shared" si="4"/>
        <v>2</v>
      </c>
      <c r="AN6" s="3">
        <f t="shared" si="6"/>
        <v>6</v>
      </c>
      <c r="AO6" s="17">
        <f t="shared" si="7"/>
        <v>27</v>
      </c>
      <c r="AP6">
        <v>90</v>
      </c>
      <c r="AQ6" s="3" t="s">
        <v>82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 s="3">
        <f t="shared" si="5"/>
        <v>1</v>
      </c>
      <c r="AY6" s="3">
        <v>0</v>
      </c>
      <c r="AZ6" s="3">
        <v>0</v>
      </c>
      <c r="BA6" s="3">
        <v>0</v>
      </c>
      <c r="BB6" s="3">
        <v>0</v>
      </c>
      <c r="BC6" s="3">
        <v>0</v>
      </c>
      <c r="BD6" s="3">
        <v>0</v>
      </c>
      <c r="BE6" s="3">
        <v>0</v>
      </c>
      <c r="BF6" s="3">
        <v>0</v>
      </c>
      <c r="BG6" s="3">
        <v>0</v>
      </c>
      <c r="BH6" s="3">
        <v>0</v>
      </c>
      <c r="BI6" s="3">
        <v>0</v>
      </c>
      <c r="BJ6" s="3">
        <v>0</v>
      </c>
      <c r="BK6" s="3">
        <v>0</v>
      </c>
      <c r="BL6" s="3">
        <v>4</v>
      </c>
      <c r="BM6" s="3">
        <v>1</v>
      </c>
      <c r="BN6" s="3">
        <v>10</v>
      </c>
      <c r="BO6" s="3">
        <v>1</v>
      </c>
      <c r="BP6" s="3">
        <v>87</v>
      </c>
      <c r="BQ6" s="3">
        <v>0</v>
      </c>
      <c r="BR6" s="3">
        <v>0</v>
      </c>
      <c r="BS6">
        <v>1</v>
      </c>
      <c r="BX6" s="3">
        <f t="shared" si="8"/>
        <v>0</v>
      </c>
      <c r="BY6" s="3">
        <f t="shared" si="9"/>
        <v>12</v>
      </c>
      <c r="BZ6" s="3">
        <f t="shared" si="10"/>
        <v>2</v>
      </c>
      <c r="CA6" s="3">
        <f t="shared" si="11"/>
        <v>3</v>
      </c>
      <c r="CB6" s="3">
        <f t="shared" si="12"/>
        <v>6</v>
      </c>
      <c r="CC6" s="21">
        <f t="shared" si="13"/>
        <v>30</v>
      </c>
    </row>
    <row r="7" spans="1:81" x14ac:dyDescent="0.2">
      <c r="A7" s="19" t="s">
        <v>127</v>
      </c>
      <c r="B7" s="17">
        <v>8</v>
      </c>
      <c r="C7" s="17" t="s">
        <v>86</v>
      </c>
      <c r="D7" s="17">
        <v>0</v>
      </c>
      <c r="E7" s="17">
        <v>0</v>
      </c>
      <c r="F7" s="17">
        <v>0</v>
      </c>
      <c r="G7" s="17">
        <v>0</v>
      </c>
      <c r="H7" s="17">
        <v>0</v>
      </c>
      <c r="I7" s="17">
        <v>0</v>
      </c>
      <c r="J7" s="17">
        <f t="shared" si="0"/>
        <v>0</v>
      </c>
      <c r="K7" s="17">
        <v>0</v>
      </c>
      <c r="L7" s="17">
        <v>0</v>
      </c>
      <c r="M7" s="17">
        <v>0</v>
      </c>
      <c r="N7" s="17">
        <v>0</v>
      </c>
      <c r="O7" s="17">
        <v>0</v>
      </c>
      <c r="P7" s="17">
        <v>0</v>
      </c>
      <c r="Q7" s="17">
        <v>0</v>
      </c>
      <c r="R7" s="17">
        <v>0</v>
      </c>
      <c r="S7" s="17">
        <v>0</v>
      </c>
      <c r="T7" s="17">
        <v>0</v>
      </c>
      <c r="U7" s="17">
        <v>0</v>
      </c>
      <c r="V7" s="17">
        <v>0</v>
      </c>
      <c r="W7" s="17">
        <v>0</v>
      </c>
      <c r="X7" s="17">
        <v>0</v>
      </c>
      <c r="Y7" s="17">
        <v>0</v>
      </c>
      <c r="Z7" s="17">
        <v>0</v>
      </c>
      <c r="AA7" s="17">
        <v>0</v>
      </c>
      <c r="AB7" s="17">
        <v>8</v>
      </c>
      <c r="AC7" s="17">
        <v>1</v>
      </c>
      <c r="AD7" s="17">
        <v>0</v>
      </c>
      <c r="AE7" s="17">
        <v>0</v>
      </c>
      <c r="AF7" s="17">
        <v>1</v>
      </c>
      <c r="AG7" s="17">
        <v>0</v>
      </c>
      <c r="AH7" s="17">
        <v>1</v>
      </c>
      <c r="AI7" s="17">
        <v>0</v>
      </c>
      <c r="AJ7" s="17">
        <f t="shared" si="1"/>
        <v>0</v>
      </c>
      <c r="AK7" s="17">
        <f t="shared" si="2"/>
        <v>0</v>
      </c>
      <c r="AL7" s="17">
        <f t="shared" si="3"/>
        <v>0</v>
      </c>
      <c r="AM7" s="17">
        <f t="shared" si="4"/>
        <v>0</v>
      </c>
      <c r="AN7" s="3">
        <f t="shared" si="6"/>
        <v>0</v>
      </c>
      <c r="AO7" s="17">
        <f t="shared" si="7"/>
        <v>1</v>
      </c>
      <c r="AP7">
        <v>89</v>
      </c>
      <c r="AQ7" s="3" t="s">
        <v>86</v>
      </c>
      <c r="AR7">
        <v>0</v>
      </c>
      <c r="AS7">
        <v>0</v>
      </c>
      <c r="AT7">
        <v>0</v>
      </c>
      <c r="AU7">
        <v>0</v>
      </c>
      <c r="AV7">
        <v>1</v>
      </c>
      <c r="AW7">
        <v>0</v>
      </c>
      <c r="AX7" s="3">
        <f t="shared" si="5"/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</v>
      </c>
      <c r="BF7" s="3">
        <v>0</v>
      </c>
      <c r="BG7" s="3">
        <v>0</v>
      </c>
      <c r="BH7" s="3">
        <v>2</v>
      </c>
      <c r="BI7" s="3">
        <v>0</v>
      </c>
      <c r="BJ7" s="3">
        <v>0</v>
      </c>
      <c r="BK7" s="3">
        <v>0</v>
      </c>
      <c r="BL7" s="3">
        <v>2</v>
      </c>
      <c r="BM7" s="3">
        <v>0</v>
      </c>
      <c r="BN7" s="3">
        <v>1</v>
      </c>
      <c r="BO7" s="3">
        <v>1</v>
      </c>
      <c r="BP7" s="3">
        <v>44</v>
      </c>
      <c r="BQ7" s="3">
        <v>0</v>
      </c>
      <c r="BR7">
        <v>1</v>
      </c>
      <c r="BS7">
        <v>0</v>
      </c>
      <c r="BX7" s="3">
        <f t="shared" si="8"/>
        <v>0</v>
      </c>
      <c r="BY7" s="3">
        <f t="shared" si="9"/>
        <v>0</v>
      </c>
      <c r="BZ7" s="3">
        <f t="shared" si="10"/>
        <v>1</v>
      </c>
      <c r="CA7" s="3">
        <f t="shared" si="11"/>
        <v>0</v>
      </c>
      <c r="CB7" s="3">
        <f t="shared" si="12"/>
        <v>4</v>
      </c>
      <c r="CC7" s="21">
        <f t="shared" si="13"/>
        <v>5</v>
      </c>
    </row>
    <row r="8" spans="1:81" x14ac:dyDescent="0.2">
      <c r="A8" s="19" t="s">
        <v>126</v>
      </c>
      <c r="B8" s="17">
        <v>23</v>
      </c>
      <c r="C8" s="17" t="s">
        <v>82</v>
      </c>
      <c r="D8" s="17">
        <v>0</v>
      </c>
      <c r="E8" s="17">
        <v>0</v>
      </c>
      <c r="F8" s="17">
        <v>0</v>
      </c>
      <c r="G8" s="17">
        <v>0</v>
      </c>
      <c r="H8" s="17">
        <v>0</v>
      </c>
      <c r="I8" s="17">
        <v>0</v>
      </c>
      <c r="J8" s="17">
        <f t="shared" si="0"/>
        <v>0</v>
      </c>
      <c r="K8" s="17">
        <v>0</v>
      </c>
      <c r="L8" s="17">
        <v>0</v>
      </c>
      <c r="M8" s="17">
        <v>0</v>
      </c>
      <c r="N8" s="17">
        <v>0</v>
      </c>
      <c r="O8" s="17">
        <v>0</v>
      </c>
      <c r="P8" s="17">
        <v>0</v>
      </c>
      <c r="Q8" s="17">
        <v>0</v>
      </c>
      <c r="R8" s="17">
        <v>0</v>
      </c>
      <c r="S8" s="17">
        <v>0</v>
      </c>
      <c r="T8" s="17">
        <v>0</v>
      </c>
      <c r="U8" s="17">
        <v>0</v>
      </c>
      <c r="V8" s="17">
        <v>0</v>
      </c>
      <c r="W8" s="17">
        <v>0</v>
      </c>
      <c r="X8" s="17">
        <v>0</v>
      </c>
      <c r="Y8" s="17">
        <v>1</v>
      </c>
      <c r="Z8" s="17">
        <v>0</v>
      </c>
      <c r="AA8" s="17">
        <v>0</v>
      </c>
      <c r="AB8" s="17">
        <v>12</v>
      </c>
      <c r="AC8" s="17">
        <v>0</v>
      </c>
      <c r="AD8" s="17">
        <v>0</v>
      </c>
      <c r="AE8" s="17">
        <v>1</v>
      </c>
      <c r="AF8" s="17">
        <v>0</v>
      </c>
      <c r="AG8" s="17">
        <v>1</v>
      </c>
      <c r="AH8" s="17">
        <v>1</v>
      </c>
      <c r="AI8" s="17">
        <v>0</v>
      </c>
      <c r="AJ8" s="17">
        <f t="shared" si="1"/>
        <v>0</v>
      </c>
      <c r="AK8" s="17">
        <f t="shared" si="2"/>
        <v>0</v>
      </c>
      <c r="AL8" s="17">
        <f t="shared" si="3"/>
        <v>0</v>
      </c>
      <c r="AM8" s="17">
        <f t="shared" si="4"/>
        <v>0</v>
      </c>
      <c r="AN8" s="3">
        <f t="shared" si="6"/>
        <v>0</v>
      </c>
      <c r="AO8" s="17">
        <f t="shared" si="7"/>
        <v>4</v>
      </c>
      <c r="AP8">
        <v>90</v>
      </c>
      <c r="AQ8" s="3" t="s">
        <v>82</v>
      </c>
      <c r="AR8">
        <v>1</v>
      </c>
      <c r="AS8">
        <v>0</v>
      </c>
      <c r="AT8">
        <v>1</v>
      </c>
      <c r="AU8">
        <v>4</v>
      </c>
      <c r="AV8">
        <v>0</v>
      </c>
      <c r="AW8">
        <v>0</v>
      </c>
      <c r="AX8" s="3">
        <f t="shared" si="5"/>
        <v>1</v>
      </c>
      <c r="AY8" s="3">
        <v>0</v>
      </c>
      <c r="AZ8" s="3">
        <v>0</v>
      </c>
      <c r="BA8" s="3">
        <v>0</v>
      </c>
      <c r="BB8" s="3">
        <v>0</v>
      </c>
      <c r="BC8" s="3">
        <v>0</v>
      </c>
      <c r="BD8" s="3">
        <v>0</v>
      </c>
      <c r="BE8" s="3">
        <v>0</v>
      </c>
      <c r="BF8" s="3">
        <v>2</v>
      </c>
      <c r="BG8" s="3">
        <v>1</v>
      </c>
      <c r="BH8" s="3">
        <v>0</v>
      </c>
      <c r="BI8" s="3">
        <v>0</v>
      </c>
      <c r="BJ8" s="3">
        <v>0</v>
      </c>
      <c r="BK8" s="3">
        <v>0</v>
      </c>
      <c r="BL8" s="3">
        <v>1</v>
      </c>
      <c r="BM8" s="3">
        <v>0</v>
      </c>
      <c r="BN8" s="3">
        <v>4</v>
      </c>
      <c r="BO8" s="3">
        <v>0</v>
      </c>
      <c r="BP8" s="3">
        <v>77</v>
      </c>
      <c r="BQ8" s="3">
        <v>0</v>
      </c>
      <c r="BR8" s="3">
        <v>0</v>
      </c>
      <c r="BS8">
        <v>1</v>
      </c>
      <c r="BX8" s="3">
        <f t="shared" si="8"/>
        <v>12</v>
      </c>
      <c r="BY8" s="3">
        <f t="shared" si="9"/>
        <v>12</v>
      </c>
      <c r="BZ8" s="3">
        <f t="shared" si="10"/>
        <v>0</v>
      </c>
      <c r="CA8" s="3">
        <f t="shared" si="11"/>
        <v>1</v>
      </c>
      <c r="CB8" s="3">
        <f t="shared" si="12"/>
        <v>6</v>
      </c>
      <c r="CC8" s="21">
        <f t="shared" si="13"/>
        <v>55</v>
      </c>
    </row>
    <row r="9" spans="1:81" x14ac:dyDescent="0.2">
      <c r="A9" s="19" t="s">
        <v>70</v>
      </c>
      <c r="B9" s="17">
        <v>90</v>
      </c>
      <c r="C9" s="17" t="s">
        <v>86</v>
      </c>
      <c r="D9" s="17">
        <v>0</v>
      </c>
      <c r="E9" s="17">
        <v>0</v>
      </c>
      <c r="F9" s="17">
        <v>0</v>
      </c>
      <c r="G9" s="17">
        <v>1</v>
      </c>
      <c r="H9" s="17">
        <v>0</v>
      </c>
      <c r="I9" s="17">
        <v>0</v>
      </c>
      <c r="J9" s="17">
        <f t="shared" si="0"/>
        <v>0</v>
      </c>
      <c r="K9" s="17">
        <v>0</v>
      </c>
      <c r="L9" s="17">
        <v>0</v>
      </c>
      <c r="M9" s="17">
        <v>0</v>
      </c>
      <c r="N9" s="17">
        <v>0</v>
      </c>
      <c r="O9" s="17">
        <v>0</v>
      </c>
      <c r="P9" s="17">
        <v>0</v>
      </c>
      <c r="Q9" s="17">
        <v>0</v>
      </c>
      <c r="R9" s="17">
        <v>0</v>
      </c>
      <c r="S9" s="17">
        <v>0</v>
      </c>
      <c r="T9" s="17">
        <v>0</v>
      </c>
      <c r="U9" s="17">
        <v>0</v>
      </c>
      <c r="V9" s="17">
        <v>0</v>
      </c>
      <c r="W9" s="17">
        <v>0</v>
      </c>
      <c r="X9" s="17">
        <v>0</v>
      </c>
      <c r="Y9" s="17">
        <v>2</v>
      </c>
      <c r="Z9" s="17">
        <v>6</v>
      </c>
      <c r="AA9" s="17">
        <v>0</v>
      </c>
      <c r="AB9" s="17">
        <v>88</v>
      </c>
      <c r="AC9" s="17">
        <v>0</v>
      </c>
      <c r="AD9" s="17">
        <v>0</v>
      </c>
      <c r="AE9" s="17">
        <v>1</v>
      </c>
      <c r="AF9" s="17">
        <v>1</v>
      </c>
      <c r="AG9" s="17">
        <v>0</v>
      </c>
      <c r="AH9" s="17">
        <v>1</v>
      </c>
      <c r="AI9" s="17">
        <v>0</v>
      </c>
      <c r="AJ9" s="17">
        <f t="shared" si="1"/>
        <v>0</v>
      </c>
      <c r="AK9" s="17">
        <f t="shared" si="2"/>
        <v>0</v>
      </c>
      <c r="AL9" s="17">
        <f t="shared" si="3"/>
        <v>1</v>
      </c>
      <c r="AM9" s="17">
        <f t="shared" si="4"/>
        <v>2</v>
      </c>
      <c r="AN9" s="3">
        <f t="shared" si="6"/>
        <v>6</v>
      </c>
      <c r="AO9" s="17">
        <f t="shared" si="7"/>
        <v>14</v>
      </c>
      <c r="AP9">
        <v>90</v>
      </c>
      <c r="AQ9" s="3" t="s">
        <v>86</v>
      </c>
      <c r="AR9">
        <v>0</v>
      </c>
      <c r="AS9">
        <v>0</v>
      </c>
      <c r="AT9">
        <v>0</v>
      </c>
      <c r="AU9">
        <v>1</v>
      </c>
      <c r="AV9">
        <v>0</v>
      </c>
      <c r="AW9">
        <v>0</v>
      </c>
      <c r="AX9" s="3">
        <f t="shared" si="5"/>
        <v>0</v>
      </c>
      <c r="AY9" s="3">
        <v>0</v>
      </c>
      <c r="AZ9" s="3">
        <v>0</v>
      </c>
      <c r="BA9" s="3">
        <v>0</v>
      </c>
      <c r="BB9" s="3">
        <v>0</v>
      </c>
      <c r="BC9" s="3">
        <v>0</v>
      </c>
      <c r="BD9" s="3">
        <v>0</v>
      </c>
      <c r="BE9" s="3">
        <v>0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1</v>
      </c>
      <c r="BM9" s="3">
        <v>1</v>
      </c>
      <c r="BN9" s="3">
        <v>5</v>
      </c>
      <c r="BO9" s="3">
        <v>0</v>
      </c>
      <c r="BP9" s="3">
        <v>69</v>
      </c>
      <c r="BQ9" s="3">
        <v>0</v>
      </c>
      <c r="BR9">
        <v>1</v>
      </c>
      <c r="BS9">
        <v>0</v>
      </c>
      <c r="BX9" s="3">
        <f t="shared" si="8"/>
        <v>0</v>
      </c>
      <c r="BY9" s="3">
        <f t="shared" si="9"/>
        <v>0</v>
      </c>
      <c r="BZ9" s="3">
        <f t="shared" si="10"/>
        <v>1</v>
      </c>
      <c r="CA9" s="3">
        <f t="shared" si="11"/>
        <v>1</v>
      </c>
      <c r="CB9" s="3">
        <f t="shared" si="12"/>
        <v>4</v>
      </c>
      <c r="CC9" s="21">
        <f t="shared" si="13"/>
        <v>13</v>
      </c>
    </row>
    <row r="10" spans="1:81" x14ac:dyDescent="0.2">
      <c r="A10" s="12" t="s">
        <v>130</v>
      </c>
      <c r="C10" t="s">
        <v>86</v>
      </c>
      <c r="D10">
        <v>0</v>
      </c>
      <c r="F10">
        <v>0</v>
      </c>
      <c r="J10">
        <v>0</v>
      </c>
      <c r="AN10" s="3">
        <f t="shared" si="6"/>
        <v>0</v>
      </c>
      <c r="AO10" s="17"/>
      <c r="AP10">
        <v>18</v>
      </c>
      <c r="AQ10" s="3" t="s">
        <v>86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 s="3">
        <f t="shared" si="5"/>
        <v>0</v>
      </c>
      <c r="AY10" s="3">
        <v>0</v>
      </c>
      <c r="AZ10" s="3">
        <v>0</v>
      </c>
      <c r="BA10" s="3">
        <v>0</v>
      </c>
      <c r="BB10" s="3">
        <v>0</v>
      </c>
      <c r="BC10" s="3">
        <v>0</v>
      </c>
      <c r="BD10" s="3">
        <v>0</v>
      </c>
      <c r="BE10" s="3">
        <v>0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1</v>
      </c>
      <c r="BN10" s="3">
        <v>2</v>
      </c>
      <c r="BO10" s="3">
        <v>2</v>
      </c>
      <c r="BP10" s="3">
        <v>15</v>
      </c>
      <c r="BQ10" s="3">
        <v>0</v>
      </c>
      <c r="BR10">
        <v>1</v>
      </c>
      <c r="BS10">
        <v>0</v>
      </c>
      <c r="BX10" s="3">
        <f t="shared" si="8"/>
        <v>0</v>
      </c>
      <c r="BY10" s="3">
        <f t="shared" si="9"/>
        <v>0</v>
      </c>
      <c r="BZ10" s="3">
        <f t="shared" si="10"/>
        <v>0</v>
      </c>
      <c r="CA10" s="3">
        <f t="shared" si="11"/>
        <v>0</v>
      </c>
      <c r="CB10" s="3">
        <f t="shared" si="12"/>
        <v>0</v>
      </c>
      <c r="CC10" s="21">
        <f t="shared" si="13"/>
        <v>5</v>
      </c>
    </row>
    <row r="11" spans="1:81" x14ac:dyDescent="0.2">
      <c r="A11" s="19" t="s">
        <v>129</v>
      </c>
      <c r="B11" s="17">
        <v>90</v>
      </c>
      <c r="C11" s="17" t="s">
        <v>86</v>
      </c>
      <c r="D11" s="17">
        <v>0</v>
      </c>
      <c r="E11" s="17">
        <v>0</v>
      </c>
      <c r="F11" s="17">
        <v>1</v>
      </c>
      <c r="G11" s="17">
        <v>2</v>
      </c>
      <c r="H11" s="17">
        <v>2</v>
      </c>
      <c r="I11" s="17">
        <v>0</v>
      </c>
      <c r="J11" s="17">
        <f>IF(AND(B11&gt;=60,I11=0,OR(C11="D",C11="GK")),1,0)</f>
        <v>0</v>
      </c>
      <c r="K11" s="17">
        <v>0</v>
      </c>
      <c r="L11" s="17">
        <v>0</v>
      </c>
      <c r="M11" s="17">
        <v>0</v>
      </c>
      <c r="N11" s="17">
        <v>0</v>
      </c>
      <c r="O11" s="17">
        <v>0</v>
      </c>
      <c r="P11" s="17">
        <v>0</v>
      </c>
      <c r="Q11" s="17">
        <v>0</v>
      </c>
      <c r="R11" s="17">
        <v>0</v>
      </c>
      <c r="S11" s="17">
        <v>0</v>
      </c>
      <c r="T11" s="17">
        <v>0</v>
      </c>
      <c r="U11" s="17">
        <v>0</v>
      </c>
      <c r="V11" s="17">
        <v>0</v>
      </c>
      <c r="W11" s="17">
        <v>0</v>
      </c>
      <c r="X11" s="17">
        <v>0</v>
      </c>
      <c r="Y11" s="17">
        <v>1</v>
      </c>
      <c r="Z11" s="17">
        <v>8</v>
      </c>
      <c r="AA11" s="17">
        <v>3</v>
      </c>
      <c r="AB11" s="17">
        <v>78</v>
      </c>
      <c r="AC11" s="17">
        <v>0</v>
      </c>
      <c r="AD11" s="17">
        <v>0</v>
      </c>
      <c r="AE11" s="17">
        <v>1</v>
      </c>
      <c r="AF11" s="17">
        <v>0</v>
      </c>
      <c r="AG11" s="17">
        <v>0</v>
      </c>
      <c r="AH11" s="17">
        <v>2</v>
      </c>
      <c r="AI11" s="17">
        <v>0</v>
      </c>
      <c r="AJ11" s="17">
        <f>IF(AND(OR(C11="D",C11="GK"),D11=1),12,IF(AND(C11="M",D11=1),18,IF(AND(C11="F",D11=1),24,0)))</f>
        <v>0</v>
      </c>
      <c r="AK11" s="17">
        <f>IF(AND(OR(C11="D",C11="GK"),J11=1),12,0)</f>
        <v>0</v>
      </c>
      <c r="AL11" s="17">
        <f>QUOTIENT((W11+X11+Y11),2)</f>
        <v>0</v>
      </c>
      <c r="AM11" s="17">
        <f>QUOTIENT(Z11,3)</f>
        <v>2</v>
      </c>
      <c r="AN11" s="3">
        <f t="shared" si="6"/>
        <v>6</v>
      </c>
      <c r="AO11" s="17">
        <f t="shared" si="7"/>
        <v>24</v>
      </c>
      <c r="AP11">
        <v>72</v>
      </c>
      <c r="AQ11" s="3" t="s">
        <v>86</v>
      </c>
      <c r="AR11">
        <v>0</v>
      </c>
      <c r="AS11">
        <v>0</v>
      </c>
      <c r="AT11">
        <v>0</v>
      </c>
      <c r="AU11">
        <v>1</v>
      </c>
      <c r="AV11">
        <v>2</v>
      </c>
      <c r="AW11">
        <v>0</v>
      </c>
      <c r="AX11" s="3">
        <f t="shared" si="5"/>
        <v>0</v>
      </c>
      <c r="AY11" s="3">
        <v>0</v>
      </c>
      <c r="AZ11" s="3">
        <v>0</v>
      </c>
      <c r="BA11" s="3">
        <v>0</v>
      </c>
      <c r="BB11" s="3">
        <v>0</v>
      </c>
      <c r="BC11" s="3">
        <v>0</v>
      </c>
      <c r="BD11" s="3">
        <v>0</v>
      </c>
      <c r="BE11" s="3">
        <v>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2</v>
      </c>
      <c r="BO11" s="3">
        <v>0</v>
      </c>
      <c r="BP11" s="3">
        <v>69</v>
      </c>
      <c r="BQ11" s="3">
        <v>0</v>
      </c>
      <c r="BR11" s="3">
        <v>0</v>
      </c>
      <c r="BS11">
        <v>1</v>
      </c>
      <c r="BX11" s="3">
        <f t="shared" si="8"/>
        <v>0</v>
      </c>
      <c r="BY11" s="3">
        <f t="shared" si="9"/>
        <v>0</v>
      </c>
      <c r="BZ11" s="3">
        <f t="shared" si="10"/>
        <v>0</v>
      </c>
      <c r="CA11" s="3">
        <f t="shared" si="11"/>
        <v>0</v>
      </c>
      <c r="CB11" s="3">
        <f t="shared" si="12"/>
        <v>6</v>
      </c>
      <c r="CC11" s="21">
        <f t="shared" si="13"/>
        <v>11</v>
      </c>
    </row>
    <row r="12" spans="1:81" x14ac:dyDescent="0.2">
      <c r="A12" s="12" t="s">
        <v>34</v>
      </c>
      <c r="C12" t="s">
        <v>87</v>
      </c>
      <c r="D12">
        <v>0</v>
      </c>
      <c r="F12">
        <v>0</v>
      </c>
      <c r="J12">
        <v>0</v>
      </c>
      <c r="AN12" s="3">
        <f t="shared" si="6"/>
        <v>0</v>
      </c>
      <c r="AO12" s="17">
        <f t="shared" si="7"/>
        <v>3</v>
      </c>
      <c r="AP12">
        <v>90</v>
      </c>
      <c r="AQ12" s="3" t="s">
        <v>87</v>
      </c>
      <c r="AR12">
        <v>1</v>
      </c>
      <c r="AS12">
        <v>1</v>
      </c>
      <c r="AT12">
        <v>0</v>
      </c>
      <c r="AU12">
        <v>3</v>
      </c>
      <c r="AV12">
        <v>2</v>
      </c>
      <c r="AW12">
        <v>0</v>
      </c>
      <c r="AX12" s="3">
        <f t="shared" si="5"/>
        <v>0</v>
      </c>
      <c r="AY12" s="3">
        <v>0</v>
      </c>
      <c r="AZ12" s="3">
        <v>0</v>
      </c>
      <c r="BA12" s="3">
        <v>0</v>
      </c>
      <c r="BB12" s="3">
        <v>0</v>
      </c>
      <c r="BC12" s="3">
        <v>0</v>
      </c>
      <c r="BD12" s="3">
        <v>0</v>
      </c>
      <c r="BE12" s="3">
        <v>0</v>
      </c>
      <c r="BF12" s="3">
        <v>0</v>
      </c>
      <c r="BG12" s="3">
        <v>1</v>
      </c>
      <c r="BH12" s="3">
        <v>1</v>
      </c>
      <c r="BI12" s="3">
        <v>0</v>
      </c>
      <c r="BJ12" s="3">
        <v>0</v>
      </c>
      <c r="BK12" s="3">
        <v>0</v>
      </c>
      <c r="BL12" s="3">
        <v>2</v>
      </c>
      <c r="BM12" s="3">
        <v>0</v>
      </c>
      <c r="BN12" s="3">
        <v>0</v>
      </c>
      <c r="BO12" s="3">
        <v>2</v>
      </c>
      <c r="BP12" s="3">
        <v>20</v>
      </c>
      <c r="BQ12" s="3">
        <v>0</v>
      </c>
      <c r="BR12" s="3">
        <v>0</v>
      </c>
      <c r="BS12">
        <v>1</v>
      </c>
      <c r="BX12" s="3">
        <f t="shared" si="8"/>
        <v>24</v>
      </c>
      <c r="BY12" s="3">
        <f t="shared" si="9"/>
        <v>0</v>
      </c>
      <c r="BZ12" s="3">
        <f t="shared" si="10"/>
        <v>1</v>
      </c>
      <c r="CA12" s="3">
        <f t="shared" si="11"/>
        <v>0</v>
      </c>
      <c r="CB12" s="3">
        <f t="shared" si="12"/>
        <v>0</v>
      </c>
      <c r="CC12" s="21">
        <f t="shared" si="13"/>
        <v>37</v>
      </c>
    </row>
    <row r="13" spans="1:81" x14ac:dyDescent="0.2">
      <c r="A13" s="19" t="s">
        <v>125</v>
      </c>
      <c r="B13" s="17">
        <v>90</v>
      </c>
      <c r="C13" s="17" t="s">
        <v>88</v>
      </c>
      <c r="D13" s="17">
        <v>0</v>
      </c>
      <c r="E13" s="17">
        <v>0</v>
      </c>
      <c r="F13" s="17">
        <v>0</v>
      </c>
      <c r="G13" s="17">
        <v>0</v>
      </c>
      <c r="H13" s="17">
        <v>0</v>
      </c>
      <c r="I13" s="17">
        <v>0</v>
      </c>
      <c r="J13" s="17">
        <f>IF(AND(B13&gt;=60,I13=0,OR(C13="D",C13="GK")),1,0)</f>
        <v>1</v>
      </c>
      <c r="K13" s="17">
        <v>1</v>
      </c>
      <c r="L13" s="17">
        <v>0</v>
      </c>
      <c r="M13" s="17">
        <v>0</v>
      </c>
      <c r="N13" s="17">
        <v>0</v>
      </c>
      <c r="O13" s="17">
        <v>0</v>
      </c>
      <c r="P13" s="17">
        <v>0</v>
      </c>
      <c r="Q13" s="17">
        <v>0</v>
      </c>
      <c r="R13" s="17">
        <v>0</v>
      </c>
      <c r="S13" s="17">
        <v>0</v>
      </c>
      <c r="T13" s="17">
        <v>0</v>
      </c>
      <c r="U13" s="17">
        <v>0</v>
      </c>
      <c r="V13" s="17">
        <v>0</v>
      </c>
      <c r="W13" s="17">
        <v>0</v>
      </c>
      <c r="X13" s="17">
        <v>0</v>
      </c>
      <c r="Y13" s="17">
        <v>0</v>
      </c>
      <c r="Z13" s="17">
        <v>2</v>
      </c>
      <c r="AA13" s="17">
        <v>0</v>
      </c>
      <c r="AB13" s="17">
        <v>21</v>
      </c>
      <c r="AC13" s="17">
        <v>0</v>
      </c>
      <c r="AD13" s="17">
        <v>1</v>
      </c>
      <c r="AE13" s="17">
        <v>0</v>
      </c>
      <c r="AF13" s="17">
        <v>0</v>
      </c>
      <c r="AG13" s="17">
        <v>0</v>
      </c>
      <c r="AH13" s="17">
        <v>0</v>
      </c>
      <c r="AI13" s="17">
        <v>0</v>
      </c>
      <c r="AJ13" s="17">
        <f>IF(AND(OR(C13="D",C13="GK"),D13=1),12,IF(AND(C13="M",D13=1),18,IF(AND(C13="F",D13=1),24,0)))</f>
        <v>0</v>
      </c>
      <c r="AK13" s="17">
        <f>IF(AND(OR(C13="D",C13="GK"),J13=1),12,0)</f>
        <v>12</v>
      </c>
      <c r="AL13" s="17">
        <f>QUOTIENT((W13+X13+Y13),2)</f>
        <v>0</v>
      </c>
      <c r="AM13" s="17">
        <f>QUOTIENT(Z13,3)</f>
        <v>0</v>
      </c>
      <c r="AN13" s="3">
        <f t="shared" si="6"/>
        <v>0</v>
      </c>
      <c r="AO13" s="17">
        <f t="shared" si="7"/>
        <v>20</v>
      </c>
      <c r="AP13">
        <v>90</v>
      </c>
      <c r="AQ13" s="3" t="s">
        <v>88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 s="3">
        <f t="shared" si="5"/>
        <v>1</v>
      </c>
      <c r="AY13" s="3">
        <v>3</v>
      </c>
      <c r="AZ13" s="3">
        <v>0</v>
      </c>
      <c r="BA13" s="3">
        <v>0</v>
      </c>
      <c r="BB13" s="3">
        <v>0</v>
      </c>
      <c r="BC13" s="3">
        <v>0</v>
      </c>
      <c r="BD13" s="3">
        <v>0</v>
      </c>
      <c r="BE13" s="3"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2</v>
      </c>
      <c r="BM13" s="3">
        <v>0</v>
      </c>
      <c r="BN13" s="3">
        <v>9</v>
      </c>
      <c r="BO13" s="3">
        <v>0</v>
      </c>
      <c r="BP13" s="3">
        <v>43</v>
      </c>
      <c r="BQ13" s="3">
        <v>0</v>
      </c>
      <c r="BR13">
        <v>1</v>
      </c>
      <c r="BS13">
        <v>0</v>
      </c>
      <c r="BX13" s="3">
        <f t="shared" si="8"/>
        <v>0</v>
      </c>
      <c r="BY13" s="3">
        <f t="shared" si="9"/>
        <v>12</v>
      </c>
      <c r="BZ13" s="3">
        <f t="shared" si="10"/>
        <v>1</v>
      </c>
      <c r="CA13" s="3">
        <f t="shared" si="11"/>
        <v>3</v>
      </c>
      <c r="CB13" s="3">
        <f t="shared" si="12"/>
        <v>4</v>
      </c>
      <c r="CC13" s="21">
        <f t="shared" si="13"/>
        <v>32</v>
      </c>
    </row>
    <row r="14" spans="1:81" x14ac:dyDescent="0.2">
      <c r="A14" s="19" t="s">
        <v>128</v>
      </c>
      <c r="B14" s="17">
        <v>90</v>
      </c>
      <c r="C14" s="17" t="s">
        <v>86</v>
      </c>
      <c r="D14" s="17">
        <v>0</v>
      </c>
      <c r="E14" s="17">
        <v>0</v>
      </c>
      <c r="F14" s="17">
        <v>1</v>
      </c>
      <c r="G14" s="17">
        <v>0</v>
      </c>
      <c r="H14" s="17">
        <v>0</v>
      </c>
      <c r="I14" s="17">
        <v>0</v>
      </c>
      <c r="J14" s="17">
        <f>IF(AND(B14&gt;=60,I14=0,OR(C14="D",C14="GK")),1,0)</f>
        <v>0</v>
      </c>
      <c r="K14" s="17">
        <v>0</v>
      </c>
      <c r="L14" s="17">
        <v>0</v>
      </c>
      <c r="M14" s="17">
        <v>0</v>
      </c>
      <c r="N14" s="17">
        <v>0</v>
      </c>
      <c r="O14" s="17">
        <v>0</v>
      </c>
      <c r="P14" s="17">
        <v>0</v>
      </c>
      <c r="Q14" s="17">
        <v>0</v>
      </c>
      <c r="R14" s="17">
        <v>2</v>
      </c>
      <c r="S14" s="17">
        <v>0</v>
      </c>
      <c r="T14" s="17">
        <v>0</v>
      </c>
      <c r="U14" s="17">
        <v>0</v>
      </c>
      <c r="V14" s="17">
        <v>0</v>
      </c>
      <c r="W14" s="17">
        <v>0</v>
      </c>
      <c r="X14" s="17">
        <v>0</v>
      </c>
      <c r="Y14" s="17">
        <v>0</v>
      </c>
      <c r="Z14" s="17">
        <v>3</v>
      </c>
      <c r="AA14" s="17">
        <v>0</v>
      </c>
      <c r="AB14" s="17">
        <v>58</v>
      </c>
      <c r="AC14" s="17">
        <v>0</v>
      </c>
      <c r="AD14" s="17">
        <v>0</v>
      </c>
      <c r="AE14" s="17">
        <v>1</v>
      </c>
      <c r="AF14" s="17">
        <v>3</v>
      </c>
      <c r="AG14" s="17">
        <v>0</v>
      </c>
      <c r="AH14" s="17">
        <v>2</v>
      </c>
      <c r="AI14" s="17">
        <v>0</v>
      </c>
      <c r="AJ14" s="17">
        <f>IF(AND(OR(C14="D",C14="GK"),D14=1),12,IF(AND(C14="M",D14=1),18,IF(AND(C14="F",D14=1),24,0)))</f>
        <v>0</v>
      </c>
      <c r="AK14" s="17">
        <f>IF(AND(OR(C14="D",C14="GK"),J14=1),12,0)</f>
        <v>0</v>
      </c>
      <c r="AL14" s="17">
        <f>QUOTIENT((W14+X14+Y14),2)</f>
        <v>0</v>
      </c>
      <c r="AM14" s="17">
        <f>QUOTIENT(Z14,3)</f>
        <v>1</v>
      </c>
      <c r="AN14" s="3">
        <f t="shared" si="6"/>
        <v>6</v>
      </c>
      <c r="AO14" s="17">
        <f t="shared" si="7"/>
        <v>19</v>
      </c>
      <c r="AP14">
        <v>82</v>
      </c>
      <c r="AQ14" s="3" t="s">
        <v>86</v>
      </c>
      <c r="AR14">
        <v>0</v>
      </c>
      <c r="AS14">
        <v>0</v>
      </c>
      <c r="AT14">
        <v>1</v>
      </c>
      <c r="AU14">
        <v>4</v>
      </c>
      <c r="AV14">
        <v>1</v>
      </c>
      <c r="AW14">
        <v>0</v>
      </c>
      <c r="AX14" s="3">
        <f t="shared" si="5"/>
        <v>0</v>
      </c>
      <c r="AY14" s="3">
        <v>0</v>
      </c>
      <c r="AZ14" s="3">
        <v>0</v>
      </c>
      <c r="BA14" s="3">
        <v>0</v>
      </c>
      <c r="BB14" s="3">
        <v>0</v>
      </c>
      <c r="BC14" s="3">
        <v>0</v>
      </c>
      <c r="BD14" s="3">
        <v>0</v>
      </c>
      <c r="BE14" s="3">
        <v>0</v>
      </c>
      <c r="BF14" s="3">
        <v>0</v>
      </c>
      <c r="BG14" s="3">
        <v>3</v>
      </c>
      <c r="BH14" s="3">
        <v>0</v>
      </c>
      <c r="BI14" s="3">
        <v>0</v>
      </c>
      <c r="BJ14" s="3">
        <v>0</v>
      </c>
      <c r="BK14" s="3">
        <v>0</v>
      </c>
      <c r="BL14" s="3">
        <v>2</v>
      </c>
      <c r="BM14" s="3">
        <v>0</v>
      </c>
      <c r="BN14" s="3">
        <v>2</v>
      </c>
      <c r="BO14" s="3">
        <v>1</v>
      </c>
      <c r="BP14" s="3">
        <v>43</v>
      </c>
      <c r="BQ14" s="3">
        <v>0</v>
      </c>
      <c r="BR14">
        <v>1</v>
      </c>
      <c r="BS14">
        <v>0</v>
      </c>
      <c r="BX14" s="3">
        <f t="shared" si="8"/>
        <v>0</v>
      </c>
      <c r="BY14" s="3">
        <f t="shared" si="9"/>
        <v>0</v>
      </c>
      <c r="BZ14" s="3">
        <f t="shared" si="10"/>
        <v>1</v>
      </c>
      <c r="CA14" s="3">
        <f t="shared" si="11"/>
        <v>0</v>
      </c>
      <c r="CB14" s="3">
        <f t="shared" si="12"/>
        <v>4</v>
      </c>
      <c r="CC14" s="21">
        <f t="shared" si="13"/>
        <v>33</v>
      </c>
    </row>
    <row r="15" spans="1:81" x14ac:dyDescent="0.2">
      <c r="A15" s="19" t="s">
        <v>32</v>
      </c>
      <c r="B15" s="17">
        <v>90</v>
      </c>
      <c r="C15" s="17" t="s">
        <v>82</v>
      </c>
      <c r="D15" s="17">
        <v>0</v>
      </c>
      <c r="E15" s="17">
        <v>0</v>
      </c>
      <c r="F15" s="17">
        <v>0</v>
      </c>
      <c r="G15" s="17">
        <v>0</v>
      </c>
      <c r="H15" s="17">
        <v>0</v>
      </c>
      <c r="I15" s="17">
        <v>0</v>
      </c>
      <c r="J15" s="17">
        <f>IF(AND(B15&gt;=60,I15=0,OR(C15="D",C15="GK")),1,0)</f>
        <v>1</v>
      </c>
      <c r="K15" s="17">
        <v>0</v>
      </c>
      <c r="L15" s="17">
        <v>0</v>
      </c>
      <c r="M15" s="17">
        <v>0</v>
      </c>
      <c r="N15" s="17">
        <v>0</v>
      </c>
      <c r="O15" s="17">
        <v>0</v>
      </c>
      <c r="P15" s="17">
        <v>0</v>
      </c>
      <c r="Q15" s="17">
        <v>0</v>
      </c>
      <c r="R15" s="17">
        <v>0</v>
      </c>
      <c r="S15" s="17">
        <v>0</v>
      </c>
      <c r="T15" s="17">
        <v>0</v>
      </c>
      <c r="U15" s="17">
        <v>0</v>
      </c>
      <c r="V15" s="17">
        <v>0</v>
      </c>
      <c r="W15" s="17">
        <v>1</v>
      </c>
      <c r="X15" s="17">
        <v>1</v>
      </c>
      <c r="Y15" s="17">
        <v>0</v>
      </c>
      <c r="Z15" s="17">
        <v>3</v>
      </c>
      <c r="AA15" s="17">
        <v>0</v>
      </c>
      <c r="AB15" s="17">
        <v>89</v>
      </c>
      <c r="AC15" s="17">
        <v>0</v>
      </c>
      <c r="AD15" s="17">
        <v>1</v>
      </c>
      <c r="AE15" s="17">
        <v>0</v>
      </c>
      <c r="AF15" s="17">
        <v>0</v>
      </c>
      <c r="AG15" s="17">
        <v>0</v>
      </c>
      <c r="AH15" s="17">
        <v>2</v>
      </c>
      <c r="AI15" s="17">
        <v>0</v>
      </c>
      <c r="AJ15" s="17">
        <f>IF(AND(OR(C15="D",C15="GK"),D15=1),12,IF(AND(C15="M",D15=1),18,IF(AND(C15="F",D15=1),24,0)))</f>
        <v>0</v>
      </c>
      <c r="AK15" s="17">
        <f>IF(AND(OR(C15="D",C15="GK"),J15=1),12,0)</f>
        <v>12</v>
      </c>
      <c r="AL15" s="17">
        <f>QUOTIENT((W15+X15+Y15),2)</f>
        <v>1</v>
      </c>
      <c r="AM15" s="17">
        <f>QUOTIENT(Z15,3)</f>
        <v>1</v>
      </c>
      <c r="AN15" s="3">
        <f t="shared" si="6"/>
        <v>4</v>
      </c>
      <c r="AO15" s="17">
        <f t="shared" si="7"/>
        <v>22</v>
      </c>
      <c r="AP15">
        <v>90</v>
      </c>
      <c r="AQ15" s="3" t="s">
        <v>82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 s="3">
        <f t="shared" si="5"/>
        <v>1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0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4</v>
      </c>
      <c r="BM15" s="3">
        <v>0</v>
      </c>
      <c r="BN15" s="3">
        <v>4</v>
      </c>
      <c r="BO15" s="3">
        <v>0</v>
      </c>
      <c r="BP15" s="3">
        <v>71</v>
      </c>
      <c r="BQ15" s="3">
        <v>0</v>
      </c>
      <c r="BR15">
        <v>1</v>
      </c>
      <c r="BS15">
        <v>0</v>
      </c>
      <c r="BX15" s="3">
        <f t="shared" si="8"/>
        <v>0</v>
      </c>
      <c r="BY15" s="3">
        <f t="shared" si="9"/>
        <v>12</v>
      </c>
      <c r="BZ15" s="3">
        <f t="shared" si="10"/>
        <v>2</v>
      </c>
      <c r="CA15" s="3">
        <f t="shared" si="11"/>
        <v>1</v>
      </c>
      <c r="CB15" s="3">
        <f t="shared" si="12"/>
        <v>4</v>
      </c>
      <c r="CC15" s="21">
        <f t="shared" si="13"/>
        <v>25</v>
      </c>
    </row>
    <row r="16" spans="1:81" x14ac:dyDescent="0.2">
      <c r="A16" s="19" t="s">
        <v>132</v>
      </c>
      <c r="B16" s="17">
        <v>90</v>
      </c>
      <c r="C16" s="17" t="s">
        <v>87</v>
      </c>
      <c r="D16" s="17">
        <v>0</v>
      </c>
      <c r="E16" s="17">
        <v>0</v>
      </c>
      <c r="F16" s="17">
        <v>0</v>
      </c>
      <c r="G16" s="17">
        <v>1</v>
      </c>
      <c r="H16" s="17">
        <v>1</v>
      </c>
      <c r="I16" s="17">
        <v>0</v>
      </c>
      <c r="J16" s="17">
        <f>IF(AND(B16&gt;=60,I16=0,OR(C16="D",C16="GK")),1,0)</f>
        <v>0</v>
      </c>
      <c r="K16" s="17">
        <v>0</v>
      </c>
      <c r="L16" s="17">
        <v>0</v>
      </c>
      <c r="M16" s="17">
        <v>0</v>
      </c>
      <c r="N16" s="17">
        <v>0</v>
      </c>
      <c r="O16" s="17">
        <v>0</v>
      </c>
      <c r="P16" s="17">
        <v>0</v>
      </c>
      <c r="Q16" s="17">
        <v>0</v>
      </c>
      <c r="R16" s="17">
        <v>0</v>
      </c>
      <c r="S16" s="17">
        <v>0</v>
      </c>
      <c r="T16" s="17">
        <v>0</v>
      </c>
      <c r="U16" s="17">
        <v>0</v>
      </c>
      <c r="V16" s="17">
        <v>0</v>
      </c>
      <c r="W16" s="17">
        <v>0</v>
      </c>
      <c r="X16" s="17">
        <v>0</v>
      </c>
      <c r="Y16" s="17">
        <v>0</v>
      </c>
      <c r="Z16" s="17">
        <v>2</v>
      </c>
      <c r="AA16" s="17">
        <v>1</v>
      </c>
      <c r="AB16" s="17">
        <v>21</v>
      </c>
      <c r="AC16" s="17">
        <v>1</v>
      </c>
      <c r="AD16" s="17">
        <v>0</v>
      </c>
      <c r="AE16" s="17">
        <v>0</v>
      </c>
      <c r="AF16" s="17">
        <v>1</v>
      </c>
      <c r="AG16" s="17">
        <v>0</v>
      </c>
      <c r="AH16" s="17">
        <v>0</v>
      </c>
      <c r="AI16" s="17">
        <v>0</v>
      </c>
      <c r="AJ16" s="17">
        <f>IF(AND(OR(C16="D",C16="GK"),D16=1),12,IF(AND(C16="M",D16=1),18,IF(AND(C16="F",D16=1),24,0)))</f>
        <v>0</v>
      </c>
      <c r="AK16" s="17">
        <f>IF(AND(OR(C16="D",C16="GK"),J16=1),12,0)</f>
        <v>0</v>
      </c>
      <c r="AL16" s="17">
        <f>QUOTIENT((W16+X16+Y16),2)</f>
        <v>0</v>
      </c>
      <c r="AM16" s="17">
        <f>QUOTIENT(Z16,3)</f>
        <v>0</v>
      </c>
      <c r="AN16" s="3">
        <f t="shared" si="6"/>
        <v>0</v>
      </c>
      <c r="AO16" s="17">
        <f t="shared" si="7"/>
        <v>6</v>
      </c>
      <c r="AP16">
        <v>1</v>
      </c>
      <c r="AQ16" s="3" t="s">
        <v>87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 s="3">
        <f t="shared" si="5"/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0</v>
      </c>
      <c r="BQ16" s="3">
        <v>0</v>
      </c>
      <c r="BR16" s="3">
        <v>0</v>
      </c>
      <c r="BS16" s="3">
        <v>0</v>
      </c>
      <c r="BX16" s="3">
        <f t="shared" si="8"/>
        <v>0</v>
      </c>
      <c r="BY16" s="3">
        <f t="shared" si="9"/>
        <v>0</v>
      </c>
      <c r="BZ16" s="3">
        <f t="shared" si="10"/>
        <v>0</v>
      </c>
      <c r="CA16" s="3">
        <f t="shared" si="11"/>
        <v>0</v>
      </c>
      <c r="CB16" s="3">
        <f t="shared" si="12"/>
        <v>0</v>
      </c>
      <c r="CC16" s="21">
        <f t="shared" si="13"/>
        <v>3</v>
      </c>
    </row>
    <row r="17" spans="1:81" x14ac:dyDescent="0.2">
      <c r="A17" s="12" t="s">
        <v>131</v>
      </c>
      <c r="C17" t="s">
        <v>86</v>
      </c>
      <c r="D17">
        <v>0</v>
      </c>
      <c r="F17">
        <v>0</v>
      </c>
      <c r="J17">
        <v>0</v>
      </c>
      <c r="AO17" s="17"/>
      <c r="AP17">
        <v>8</v>
      </c>
      <c r="AQ17" s="3" t="s">
        <v>86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 s="3">
        <f t="shared" si="5"/>
        <v>0</v>
      </c>
      <c r="AY17" s="3">
        <v>0</v>
      </c>
      <c r="AZ17" s="3">
        <v>0</v>
      </c>
      <c r="BA17" s="3">
        <v>0</v>
      </c>
      <c r="BB17" s="3">
        <v>0</v>
      </c>
      <c r="BC17" s="3">
        <v>0</v>
      </c>
      <c r="BD17" s="3">
        <v>0</v>
      </c>
      <c r="BE17" s="3">
        <v>0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3">
        <v>2</v>
      </c>
      <c r="BO17" s="3">
        <v>0</v>
      </c>
      <c r="BP17" s="3">
        <v>6</v>
      </c>
      <c r="BQ17" s="3">
        <v>0</v>
      </c>
      <c r="BR17" s="3">
        <v>0</v>
      </c>
      <c r="BS17">
        <v>0</v>
      </c>
      <c r="BX17" s="3">
        <f t="shared" si="8"/>
        <v>0</v>
      </c>
      <c r="BY17" s="3">
        <f t="shared" si="9"/>
        <v>0</v>
      </c>
      <c r="BZ17" s="3">
        <f t="shared" si="10"/>
        <v>0</v>
      </c>
      <c r="CA17" s="3">
        <f t="shared" si="11"/>
        <v>0</v>
      </c>
      <c r="CB17" s="3">
        <f t="shared" si="12"/>
        <v>0</v>
      </c>
      <c r="CC17" s="21">
        <f t="shared" si="13"/>
        <v>3</v>
      </c>
    </row>
    <row r="18" spans="1:81" x14ac:dyDescent="0.2">
      <c r="A18" s="12" t="s">
        <v>73</v>
      </c>
      <c r="C18" t="s">
        <v>82</v>
      </c>
      <c r="D18">
        <v>0</v>
      </c>
      <c r="F18">
        <v>0</v>
      </c>
      <c r="J18">
        <v>0</v>
      </c>
      <c r="AO18" s="17"/>
      <c r="AQ18" s="3" t="s">
        <v>82</v>
      </c>
    </row>
    <row r="19" spans="1:81" x14ac:dyDescent="0.2">
      <c r="A19" s="12" t="s">
        <v>133</v>
      </c>
      <c r="C19" t="s">
        <v>82</v>
      </c>
      <c r="D19">
        <v>0</v>
      </c>
      <c r="F19">
        <v>0</v>
      </c>
      <c r="J19">
        <v>0</v>
      </c>
      <c r="AO19" s="17"/>
      <c r="AQ19" s="3" t="s">
        <v>82</v>
      </c>
    </row>
    <row r="20" spans="1:81" x14ac:dyDescent="0.2">
      <c r="A20" s="19" t="s">
        <v>78</v>
      </c>
      <c r="B20" s="17">
        <v>4</v>
      </c>
      <c r="C20" s="17" t="s">
        <v>82</v>
      </c>
      <c r="D20" s="17">
        <v>0</v>
      </c>
      <c r="E20" s="17">
        <v>0</v>
      </c>
      <c r="F20" s="17">
        <v>0</v>
      </c>
      <c r="G20" s="17">
        <v>0</v>
      </c>
      <c r="H20" s="17">
        <v>0</v>
      </c>
      <c r="I20" s="17">
        <v>0</v>
      </c>
      <c r="J20" s="17">
        <f>IF(AND(B20&gt;=60,I20=0,OR(C20="D",C20="GK")),1,0)</f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>
        <v>0</v>
      </c>
      <c r="U20" s="17">
        <v>0</v>
      </c>
      <c r="V20" s="17">
        <v>0</v>
      </c>
      <c r="W20" s="17">
        <v>0</v>
      </c>
      <c r="X20" s="17">
        <v>0</v>
      </c>
      <c r="Y20" s="17">
        <v>0</v>
      </c>
      <c r="Z20" s="17">
        <v>0</v>
      </c>
      <c r="AA20" s="17">
        <v>0</v>
      </c>
      <c r="AB20" s="17">
        <v>2</v>
      </c>
      <c r="AC20" s="17">
        <v>0</v>
      </c>
      <c r="AD20" s="17">
        <v>0</v>
      </c>
      <c r="AE20" s="17">
        <v>0</v>
      </c>
      <c r="AF20" s="17">
        <v>0</v>
      </c>
      <c r="AG20" s="17">
        <v>0</v>
      </c>
      <c r="AH20" s="17">
        <v>0</v>
      </c>
      <c r="AI20" s="17">
        <v>0</v>
      </c>
      <c r="AJ20" s="17">
        <f>IF(AND(OR(C20="D",C20="GK"),D20=1),12,IF(AND(C20="M",D20=1),18,IF(AND(C20="F",D20=1),24,0)))</f>
        <v>0</v>
      </c>
      <c r="AK20" s="17">
        <f>IF(AND(OR(C20="D",C20="GK"),J20=1),12,0)</f>
        <v>0</v>
      </c>
      <c r="AL20" s="17">
        <f>QUOTIENT((W20+X20+Y20),2)</f>
        <v>0</v>
      </c>
      <c r="AM20" s="17">
        <f>QUOTIENT(Z20,3)</f>
        <v>0</v>
      </c>
      <c r="AN20" s="17">
        <f>IF(AC20=1,2,IF(AD20=1,4,IF(AE20=1,6,0)))</f>
        <v>0</v>
      </c>
      <c r="AO20" s="17">
        <f>IF(B20&gt;60,6,3)+F20*9+AJ20+L20*15+K20*2+R20*1+S20*3+AK20+AL20+G20+AG20*2+AA20*1+E20*3+AN20+(-3)*N20+(-6)*M20+(-3)*O20+(-9)*P20+(-6)*Q20+(-3)*T20+(-3)*U20+(-1)*V20+AF20*(-1)+AH20*(-1)+(-1)*AI20+(-1)*H20+AM20</f>
        <v>3</v>
      </c>
      <c r="AQ20" s="3" t="s">
        <v>82</v>
      </c>
    </row>
    <row r="21" spans="1:81" x14ac:dyDescent="0.2">
      <c r="A21" s="12" t="s">
        <v>75</v>
      </c>
      <c r="C21" t="s">
        <v>88</v>
      </c>
      <c r="D21">
        <v>0</v>
      </c>
      <c r="F21">
        <v>0</v>
      </c>
      <c r="J21">
        <v>0</v>
      </c>
      <c r="AO21" s="17">
        <f t="shared" si="7"/>
        <v>3</v>
      </c>
      <c r="AQ21" s="3" t="s">
        <v>88</v>
      </c>
    </row>
    <row r="22" spans="1:81" x14ac:dyDescent="0.2">
      <c r="A22" s="19" t="s">
        <v>134</v>
      </c>
      <c r="B22" s="17">
        <v>82</v>
      </c>
      <c r="C22" s="17" t="s">
        <v>86</v>
      </c>
      <c r="D22" s="17">
        <v>1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f>IF(AND(B22&gt;=60,I22=0,OR(C22="D",C22="GK")),1,0)</f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17">
        <v>0</v>
      </c>
      <c r="S22" s="17">
        <v>0</v>
      </c>
      <c r="T22" s="17">
        <v>0</v>
      </c>
      <c r="U22" s="17">
        <v>0</v>
      </c>
      <c r="V22" s="17">
        <v>0</v>
      </c>
      <c r="W22" s="17">
        <v>0</v>
      </c>
      <c r="X22" s="17">
        <v>0</v>
      </c>
      <c r="Y22" s="17">
        <v>1</v>
      </c>
      <c r="Z22" s="17">
        <v>3</v>
      </c>
      <c r="AA22" s="17">
        <v>2</v>
      </c>
      <c r="AB22" s="17">
        <v>26</v>
      </c>
      <c r="AC22" s="17">
        <v>0</v>
      </c>
      <c r="AD22" s="17">
        <v>0</v>
      </c>
      <c r="AE22" s="17">
        <v>1</v>
      </c>
      <c r="AF22" s="17">
        <v>4</v>
      </c>
      <c r="AG22" s="17">
        <v>0</v>
      </c>
      <c r="AH22" s="17">
        <v>2</v>
      </c>
      <c r="AI22" s="17">
        <v>0</v>
      </c>
      <c r="AJ22" s="17">
        <f>IF(AND(OR(C22="D",C22="GK"),D22=1),12,IF(AND(C22="M",D22=1),18,IF(AND(C22="F",D22=1),24,0)))</f>
        <v>18</v>
      </c>
      <c r="AK22" s="17">
        <f>IF(AND(OR(C22="D",C22="GK"),J22=1),12,0)</f>
        <v>0</v>
      </c>
      <c r="AL22" s="17">
        <f>QUOTIENT((W22+X22+Y22),2)</f>
        <v>0</v>
      </c>
      <c r="AM22" s="17">
        <f>QUOTIENT(Z22,3)</f>
        <v>1</v>
      </c>
      <c r="AN22" s="17">
        <f>IF(AC22=1,2,IF(AD22=1,4,IF(AE22=1,6,0)))</f>
        <v>6</v>
      </c>
      <c r="AO22" s="17">
        <f t="shared" si="7"/>
        <v>27</v>
      </c>
      <c r="AQ22" s="3" t="s">
        <v>86</v>
      </c>
    </row>
    <row r="23" spans="1:81" x14ac:dyDescent="0.2">
      <c r="A23" s="12" t="s">
        <v>77</v>
      </c>
      <c r="C23" t="s">
        <v>86</v>
      </c>
      <c r="D23">
        <v>0</v>
      </c>
      <c r="F23">
        <v>0</v>
      </c>
      <c r="J23">
        <v>0</v>
      </c>
      <c r="AQ23" s="3" t="s">
        <v>86</v>
      </c>
    </row>
    <row r="24" spans="1:81" x14ac:dyDescent="0.2">
      <c r="A24" s="12" t="s">
        <v>74</v>
      </c>
      <c r="C24" t="s">
        <v>86</v>
      </c>
      <c r="D24">
        <v>0</v>
      </c>
      <c r="F24">
        <v>0</v>
      </c>
      <c r="J24">
        <v>0</v>
      </c>
      <c r="AQ24" s="3" t="s">
        <v>86</v>
      </c>
    </row>
    <row r="25" spans="1:81" x14ac:dyDescent="0.2">
      <c r="A25" s="12" t="s">
        <v>76</v>
      </c>
      <c r="C25" t="s">
        <v>86</v>
      </c>
      <c r="D25">
        <v>0</v>
      </c>
      <c r="F25">
        <v>0</v>
      </c>
      <c r="J25">
        <v>0</v>
      </c>
      <c r="AQ25" s="3" t="s">
        <v>86</v>
      </c>
    </row>
    <row r="26" spans="1:81" x14ac:dyDescent="0.2">
      <c r="A26" s="12" t="s">
        <v>71</v>
      </c>
      <c r="C26" t="s">
        <v>82</v>
      </c>
      <c r="D26">
        <v>0</v>
      </c>
      <c r="F26">
        <v>0</v>
      </c>
      <c r="J26">
        <v>1</v>
      </c>
      <c r="AQ26" s="3" t="s">
        <v>82</v>
      </c>
    </row>
    <row r="27" spans="1:81" x14ac:dyDescent="0.2">
      <c r="A27" s="19" t="s">
        <v>72</v>
      </c>
      <c r="B27" s="17">
        <v>90</v>
      </c>
      <c r="C27" s="17" t="s">
        <v>82</v>
      </c>
      <c r="D27" s="17">
        <v>1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f>IF(AND(B27&gt;=60,I27=0,OR(C27="D",C27="GK")),1,0)</f>
        <v>1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7">
        <v>2</v>
      </c>
      <c r="Y27" s="17">
        <v>2</v>
      </c>
      <c r="Z27" s="17">
        <v>1</v>
      </c>
      <c r="AA27" s="17">
        <v>1</v>
      </c>
      <c r="AB27" s="17">
        <v>83</v>
      </c>
      <c r="AC27" s="17">
        <v>0</v>
      </c>
      <c r="AD27" s="17">
        <v>0</v>
      </c>
      <c r="AE27" s="17">
        <v>1</v>
      </c>
      <c r="AF27" s="17">
        <v>0</v>
      </c>
      <c r="AG27" s="17">
        <v>0</v>
      </c>
      <c r="AH27" s="17">
        <v>2</v>
      </c>
      <c r="AI27" s="17">
        <v>0</v>
      </c>
      <c r="AJ27" s="17">
        <f>IF(AND(OR(C27="D",C27="GK"),D27=1),12,IF(AND(C27="M",D27=1),18,IF(AND(C27="F",D27=1),24,0)))</f>
        <v>12</v>
      </c>
      <c r="AK27" s="17">
        <f>IF(AND(OR(C27="D",C27="GK"),J27=1),12,0)</f>
        <v>12</v>
      </c>
      <c r="AL27" s="17">
        <f>QUOTIENT((W27+X27+Y27),2)</f>
        <v>2</v>
      </c>
      <c r="AM27" s="17">
        <f>QUOTIENT(Z27,3)</f>
        <v>0</v>
      </c>
      <c r="AN27" s="17">
        <f>IF(AC27=1,2,IF(AD27=1,4,IF(AE27=1,6,0)))</f>
        <v>6</v>
      </c>
      <c r="AO27" s="17">
        <f>IF(B27&gt;60,6,3)+F27*9+AJ27+L27*15+K27*2+R27*1+S27*3+AK27+AL27+G27+AG27*2+AA27*1+E27*3+AN27+(-3)*N27+(-6)*M27+(-3)*O27+(-9)*P27+(-6)*Q27+(-3)*T27+(-3)*U27+(-1)*V27+AF27*(-1)+AH27*(-1)+(-1)*AI27+(-1)*H27+AM27</f>
        <v>37</v>
      </c>
      <c r="AQ27" s="3" t="s">
        <v>82</v>
      </c>
    </row>
  </sheetData>
  <sortState xmlns:xlrd2="http://schemas.microsoft.com/office/spreadsheetml/2017/richdata2" ref="A4:BN17">
    <sortCondition ref="A4:A17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PRIYAVRAT CHAUDHARY</dc:creator>
  <cp:lastModifiedBy>Microsoft Office User</cp:lastModifiedBy>
  <dcterms:created xsi:type="dcterms:W3CDTF">2021-09-28T18:08:49Z</dcterms:created>
  <dcterms:modified xsi:type="dcterms:W3CDTF">2021-12-01T06:23:30Z</dcterms:modified>
</cp:coreProperties>
</file>